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de\P2P_trading_withQV\Source_data\"/>
    </mc:Choice>
  </mc:AlternateContent>
  <xr:revisionPtr revIDLastSave="0" documentId="13_ncr:1_{1EA944C2-87E3-4E2B-B772-DD291EBDEF7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21" i="1"/>
  <c r="F2" i="1"/>
  <c r="F3" i="1"/>
  <c r="F4" i="1"/>
  <c r="F5" i="1"/>
  <c r="F6" i="1"/>
  <c r="F7" i="1"/>
  <c r="F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F9" i="1"/>
  <c r="F10" i="1"/>
  <c r="F11" i="1"/>
  <c r="F12" i="1"/>
  <c r="F13" i="1"/>
  <c r="F14" i="1"/>
  <c r="F15" i="1"/>
  <c r="F16" i="1"/>
  <c r="F17" i="1"/>
  <c r="F18" i="1"/>
  <c r="F19" i="1"/>
  <c r="F22" i="1"/>
  <c r="F23" i="1"/>
  <c r="F24" i="1"/>
  <c r="F25" i="1"/>
  <c r="J18" i="1"/>
  <c r="J16" i="1"/>
  <c r="J4" i="1"/>
  <c r="J5" i="1"/>
  <c r="J3" i="1"/>
</calcChain>
</file>

<file path=xl/sharedStrings.xml><?xml version="1.0" encoding="utf-8"?>
<sst xmlns="http://schemas.openxmlformats.org/spreadsheetml/2006/main" count="38" uniqueCount="34">
  <si>
    <t>Hour</t>
  </si>
  <si>
    <t>Price_Buy</t>
  </si>
  <si>
    <t>Price_Sell</t>
  </si>
  <si>
    <t>Parameter</t>
  </si>
  <si>
    <t>Value</t>
  </si>
  <si>
    <t>Ramp_rate</t>
  </si>
  <si>
    <t>Time_up</t>
  </si>
  <si>
    <t>Time_down</t>
  </si>
  <si>
    <t>Initial_duration</t>
  </si>
  <si>
    <t>Hot_start_cost</t>
  </si>
  <si>
    <t>Cold_start_cost</t>
  </si>
  <si>
    <t>alpha</t>
  </si>
  <si>
    <t>beta</t>
  </si>
  <si>
    <t>theta</t>
  </si>
  <si>
    <t>keta</t>
  </si>
  <si>
    <t>Capacity</t>
  </si>
  <si>
    <t>Eff</t>
  </si>
  <si>
    <t>P_BESS_max</t>
  </si>
  <si>
    <t>SOC_min</t>
  </si>
  <si>
    <t>SOC_max</t>
  </si>
  <si>
    <t>SOC_ini</t>
  </si>
  <si>
    <t>BESS_cost</t>
  </si>
  <si>
    <t>P_Grid_max</t>
  </si>
  <si>
    <t>Theta</t>
  </si>
  <si>
    <t>P_PV</t>
  </si>
  <si>
    <t>Q_PV</t>
  </si>
  <si>
    <t>P_Wind</t>
  </si>
  <si>
    <t>Q_Wind</t>
  </si>
  <si>
    <t>DG</t>
  </si>
  <si>
    <t>P_Qmin</t>
  </si>
  <si>
    <t>P_Qmax</t>
  </si>
  <si>
    <t>BESS</t>
  </si>
  <si>
    <t>Scale power</t>
  </si>
  <si>
    <t>divide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</si>
</sst>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B1" workbookViewId="0">
      <selection activeCell="U2" sqref="U2"/>
    </sheetView>
  </sheetViews>
  <sheetFormatPr defaultRowHeight="15" x14ac:dyDescent="0.25"/>
  <cols>
    <col min="2" max="2" width="10.28515625" customWidth="1"/>
    <col min="3" max="3" width="11.28515625" customWidth="1"/>
    <col min="9" max="9" width="14.85546875" customWidth="1"/>
    <col min="16" max="16" width="14.28515625" customWidth="1"/>
    <col min="19" max="19" width="12.85546875" customWidth="1"/>
    <col min="21" max="21" width="13.7109375" customWidth="1"/>
  </cols>
  <sheetData>
    <row r="1" spans="1:21" ht="26.45" customHeight="1" x14ac:dyDescent="0.25">
      <c r="A1" s="1" t="s">
        <v>0</v>
      </c>
      <c r="B1" s="1" t="s">
        <v>1</v>
      </c>
      <c r="C1" s="1" t="s">
        <v>2</v>
      </c>
      <c r="D1" s="6" t="s">
        <v>24</v>
      </c>
      <c r="E1" s="6" t="s">
        <v>25</v>
      </c>
      <c r="F1" s="1" t="s">
        <v>26</v>
      </c>
      <c r="G1" s="5" t="s">
        <v>27</v>
      </c>
      <c r="I1" s="3" t="s">
        <v>3</v>
      </c>
      <c r="J1" s="1" t="s">
        <v>4</v>
      </c>
      <c r="N1" s="1" t="s">
        <v>4</v>
      </c>
      <c r="P1" t="s">
        <v>32</v>
      </c>
      <c r="R1" s="6" t="s">
        <v>24</v>
      </c>
      <c r="S1" t="s">
        <v>33</v>
      </c>
      <c r="T1" s="1" t="s">
        <v>26</v>
      </c>
      <c r="U1" t="s">
        <v>33</v>
      </c>
    </row>
    <row r="2" spans="1:21" x14ac:dyDescent="0.25">
      <c r="A2" s="2">
        <v>0</v>
      </c>
      <c r="B2" s="2">
        <v>15.59</v>
      </c>
      <c r="C2" s="2">
        <v>13.59</v>
      </c>
      <c r="D2" s="2">
        <f xml:space="preserve"> R2/$S$2</f>
        <v>0</v>
      </c>
      <c r="E2" s="2">
        <v>0</v>
      </c>
      <c r="F2" s="2">
        <f t="shared" ref="F2:F8" si="0" xml:space="preserve"> T2/$U$2</f>
        <v>69.333333333333329</v>
      </c>
      <c r="G2" s="7">
        <v>34.32</v>
      </c>
      <c r="I2" s="3" t="s">
        <v>28</v>
      </c>
      <c r="J2" s="1"/>
      <c r="N2" s="1"/>
      <c r="P2">
        <v>10000</v>
      </c>
      <c r="R2" s="2">
        <v>0</v>
      </c>
      <c r="S2" s="2">
        <v>1.5</v>
      </c>
      <c r="T2" s="2">
        <v>104</v>
      </c>
      <c r="U2">
        <v>1.5</v>
      </c>
    </row>
    <row r="3" spans="1:21" x14ac:dyDescent="0.25">
      <c r="A3" s="2">
        <v>1</v>
      </c>
      <c r="B3" s="2">
        <v>15.08</v>
      </c>
      <c r="C3" s="2">
        <v>13.08</v>
      </c>
      <c r="D3" s="2">
        <f t="shared" ref="D3:D25" si="1" xml:space="preserve"> R3/$S$2</f>
        <v>0</v>
      </c>
      <c r="E3" s="2">
        <v>0</v>
      </c>
      <c r="F3" s="2">
        <f t="shared" si="0"/>
        <v>73.333333333333329</v>
      </c>
      <c r="G3" s="7">
        <v>36.299999999999997</v>
      </c>
      <c r="I3" s="4" t="s">
        <v>29</v>
      </c>
      <c r="J3" s="2">
        <f>N3*$P$2/1000000</f>
        <v>0.2</v>
      </c>
      <c r="N3" s="2">
        <v>20</v>
      </c>
      <c r="R3" s="2">
        <v>0</v>
      </c>
      <c r="S3" s="2"/>
      <c r="T3" s="2">
        <v>110</v>
      </c>
    </row>
    <row r="4" spans="1:21" x14ac:dyDescent="0.25">
      <c r="A4" s="2">
        <v>2</v>
      </c>
      <c r="B4" s="2">
        <v>15.21</v>
      </c>
      <c r="C4" s="2">
        <v>13.21</v>
      </c>
      <c r="D4" s="2">
        <f t="shared" si="1"/>
        <v>0</v>
      </c>
      <c r="E4" s="2">
        <v>0</v>
      </c>
      <c r="F4" s="2">
        <f t="shared" si="0"/>
        <v>80</v>
      </c>
      <c r="G4" s="7">
        <v>39.6</v>
      </c>
      <c r="I4" s="4" t="s">
        <v>30</v>
      </c>
      <c r="J4" s="2">
        <f t="shared" ref="J4:J5" si="2">N4*$P$2/1000000</f>
        <v>0.8</v>
      </c>
      <c r="N4" s="2">
        <v>80</v>
      </c>
      <c r="R4" s="2">
        <v>0</v>
      </c>
      <c r="S4" s="2"/>
      <c r="T4" s="2">
        <v>120</v>
      </c>
    </row>
    <row r="5" spans="1:21" x14ac:dyDescent="0.25">
      <c r="A5" s="2">
        <v>3</v>
      </c>
      <c r="B5" s="2">
        <v>15.08</v>
      </c>
      <c r="C5" s="2">
        <v>13.08</v>
      </c>
      <c r="D5" s="2">
        <f t="shared" si="1"/>
        <v>0</v>
      </c>
      <c r="E5" s="2">
        <v>0</v>
      </c>
      <c r="F5" s="2">
        <f t="shared" si="0"/>
        <v>83.333333333333329</v>
      </c>
      <c r="G5" s="7">
        <v>41.25</v>
      </c>
      <c r="I5" s="4" t="s">
        <v>5</v>
      </c>
      <c r="J5" s="2">
        <f t="shared" si="2"/>
        <v>0.8</v>
      </c>
      <c r="N5" s="2">
        <v>80</v>
      </c>
      <c r="R5" s="2">
        <v>0</v>
      </c>
      <c r="S5" s="2"/>
      <c r="T5" s="2">
        <v>125</v>
      </c>
    </row>
    <row r="6" spans="1:21" x14ac:dyDescent="0.25">
      <c r="A6" s="2">
        <v>4</v>
      </c>
      <c r="B6" s="2">
        <v>14.69</v>
      </c>
      <c r="C6" s="2">
        <v>12.69</v>
      </c>
      <c r="D6" s="2">
        <f t="shared" si="1"/>
        <v>0</v>
      </c>
      <c r="E6" s="2">
        <v>0</v>
      </c>
      <c r="F6" s="2">
        <f t="shared" si="0"/>
        <v>73.333333333333329</v>
      </c>
      <c r="G6" s="7">
        <v>36.299999999999997</v>
      </c>
      <c r="I6" s="4" t="s">
        <v>6</v>
      </c>
      <c r="J6" s="2">
        <v>2</v>
      </c>
      <c r="N6" s="2">
        <v>2</v>
      </c>
      <c r="R6" s="2">
        <v>0</v>
      </c>
      <c r="S6" s="2"/>
      <c r="T6" s="2">
        <v>110</v>
      </c>
    </row>
    <row r="7" spans="1:21" x14ac:dyDescent="0.25">
      <c r="A7" s="2">
        <v>5</v>
      </c>
      <c r="B7" s="2">
        <v>15.59</v>
      </c>
      <c r="C7" s="2">
        <v>13.59</v>
      </c>
      <c r="D7" s="2">
        <f t="shared" si="1"/>
        <v>0</v>
      </c>
      <c r="E7" s="2">
        <v>0</v>
      </c>
      <c r="F7" s="2">
        <f t="shared" si="0"/>
        <v>71.333333333333329</v>
      </c>
      <c r="G7" s="7">
        <v>35.31</v>
      </c>
      <c r="I7" s="4" t="s">
        <v>7</v>
      </c>
      <c r="J7" s="2">
        <v>2</v>
      </c>
      <c r="N7" s="2">
        <v>2</v>
      </c>
      <c r="R7" s="2">
        <v>0</v>
      </c>
      <c r="S7" s="2"/>
      <c r="T7" s="2">
        <v>107</v>
      </c>
    </row>
    <row r="8" spans="1:21" x14ac:dyDescent="0.25">
      <c r="A8" s="2">
        <v>6</v>
      </c>
      <c r="B8" s="2">
        <v>16.23</v>
      </c>
      <c r="C8" s="2">
        <v>14.23</v>
      </c>
      <c r="D8" s="2">
        <f t="shared" si="1"/>
        <v>4</v>
      </c>
      <c r="E8" s="2">
        <v>1.98</v>
      </c>
      <c r="F8" s="2">
        <f t="shared" si="0"/>
        <v>74.666666666666671</v>
      </c>
      <c r="G8" s="7">
        <v>36.96</v>
      </c>
      <c r="I8" s="4" t="s">
        <v>8</v>
      </c>
      <c r="J8" s="2">
        <v>2</v>
      </c>
      <c r="N8" s="2">
        <v>2</v>
      </c>
      <c r="R8" s="2">
        <v>6</v>
      </c>
      <c r="S8" s="2"/>
      <c r="T8" s="2">
        <v>112</v>
      </c>
    </row>
    <row r="9" spans="1:21" x14ac:dyDescent="0.25">
      <c r="A9" s="2">
        <v>7</v>
      </c>
      <c r="B9" s="2">
        <v>16.87</v>
      </c>
      <c r="C9" s="2">
        <v>14.87</v>
      </c>
      <c r="D9" s="2">
        <f t="shared" si="1"/>
        <v>17.333333333333332</v>
      </c>
      <c r="E9" s="2">
        <v>8.58</v>
      </c>
      <c r="F9" s="2">
        <f t="shared" ref="F9:F25" si="3" xml:space="preserve"> T9/$U$2</f>
        <v>77.333333333333329</v>
      </c>
      <c r="G9" s="7">
        <v>38.28</v>
      </c>
      <c r="I9" s="4" t="s">
        <v>9</v>
      </c>
      <c r="J9" s="2">
        <v>660</v>
      </c>
      <c r="N9" s="2">
        <v>660</v>
      </c>
      <c r="R9" s="2">
        <v>26</v>
      </c>
      <c r="S9" s="2"/>
      <c r="T9" s="2">
        <v>116</v>
      </c>
    </row>
    <row r="10" spans="1:21" x14ac:dyDescent="0.25">
      <c r="A10" s="2">
        <v>8</v>
      </c>
      <c r="B10" s="2">
        <v>17.260000000000002</v>
      </c>
      <c r="C10" s="2">
        <v>15.26</v>
      </c>
      <c r="D10" s="2">
        <f t="shared" si="1"/>
        <v>33.333333333333336</v>
      </c>
      <c r="E10" s="2">
        <v>16.5</v>
      </c>
      <c r="F10" s="2">
        <f t="shared" si="3"/>
        <v>85.333333333333329</v>
      </c>
      <c r="G10" s="7">
        <v>42.24</v>
      </c>
      <c r="I10" s="4" t="s">
        <v>10</v>
      </c>
      <c r="J10" s="2">
        <v>1120</v>
      </c>
      <c r="N10" s="2">
        <v>1120</v>
      </c>
      <c r="R10" s="2">
        <v>50</v>
      </c>
      <c r="S10" s="2"/>
      <c r="T10" s="2">
        <v>128</v>
      </c>
    </row>
    <row r="11" spans="1:21" x14ac:dyDescent="0.25">
      <c r="A11" s="2">
        <v>9</v>
      </c>
      <c r="B11" s="2">
        <v>17.510000000000002</v>
      </c>
      <c r="C11" s="2">
        <v>15.51</v>
      </c>
      <c r="D11" s="2">
        <f t="shared" si="1"/>
        <v>33.333333333333336</v>
      </c>
      <c r="E11" s="2">
        <v>16.5</v>
      </c>
      <c r="F11" s="2">
        <f t="shared" si="3"/>
        <v>100</v>
      </c>
      <c r="G11" s="7">
        <v>49.5</v>
      </c>
      <c r="I11" s="4" t="s">
        <v>11</v>
      </c>
      <c r="J11" s="2">
        <v>370</v>
      </c>
      <c r="L11" s="2">
        <v>7.1199999999999996E-3</v>
      </c>
      <c r="N11" s="2">
        <v>370</v>
      </c>
      <c r="R11" s="2">
        <v>50</v>
      </c>
      <c r="S11" s="2"/>
      <c r="T11" s="2">
        <v>150</v>
      </c>
    </row>
    <row r="12" spans="1:21" x14ac:dyDescent="0.25">
      <c r="A12" s="2">
        <v>10</v>
      </c>
      <c r="B12" s="2">
        <v>17.77</v>
      </c>
      <c r="C12" s="2">
        <v>15.77</v>
      </c>
      <c r="D12" s="2">
        <f t="shared" si="1"/>
        <v>38.666666666666664</v>
      </c>
      <c r="E12" s="2">
        <v>19.14</v>
      </c>
      <c r="F12" s="2">
        <f t="shared" si="3"/>
        <v>104</v>
      </c>
      <c r="G12" s="7">
        <v>51.48</v>
      </c>
      <c r="I12" s="4" t="s">
        <v>12</v>
      </c>
      <c r="J12" s="2">
        <v>22.26</v>
      </c>
      <c r="L12" s="2">
        <v>22.26</v>
      </c>
      <c r="N12" s="2">
        <v>22.26</v>
      </c>
      <c r="R12" s="2">
        <v>58</v>
      </c>
      <c r="S12" s="2"/>
      <c r="T12" s="2">
        <v>156</v>
      </c>
    </row>
    <row r="13" spans="1:21" x14ac:dyDescent="0.25">
      <c r="A13" s="2">
        <v>11</v>
      </c>
      <c r="B13" s="2">
        <v>18.03</v>
      </c>
      <c r="C13" s="2">
        <v>16.03</v>
      </c>
      <c r="D13" s="2">
        <f t="shared" si="1"/>
        <v>36</v>
      </c>
      <c r="E13" s="2">
        <v>17.82</v>
      </c>
      <c r="F13" s="2">
        <f t="shared" si="3"/>
        <v>109.33333333333333</v>
      </c>
      <c r="G13" s="7">
        <v>54.12</v>
      </c>
      <c r="I13" s="4" t="s">
        <v>13</v>
      </c>
      <c r="J13" s="2">
        <v>7.1199999999999996E-3</v>
      </c>
      <c r="L13" s="2">
        <v>370</v>
      </c>
      <c r="N13" s="2">
        <v>7.1199999999999996E-3</v>
      </c>
      <c r="R13" s="2">
        <v>54</v>
      </c>
      <c r="S13" s="2"/>
      <c r="T13" s="2">
        <v>164</v>
      </c>
    </row>
    <row r="14" spans="1:21" x14ac:dyDescent="0.25">
      <c r="A14" s="2">
        <v>12</v>
      </c>
      <c r="B14" s="2">
        <v>18.28</v>
      </c>
      <c r="C14" s="2">
        <v>16.28</v>
      </c>
      <c r="D14" s="2">
        <f t="shared" si="1"/>
        <v>35.333333333333336</v>
      </c>
      <c r="E14" s="2">
        <v>17.489999999999998</v>
      </c>
      <c r="F14" s="2">
        <f t="shared" si="3"/>
        <v>109.33333333333333</v>
      </c>
      <c r="G14" s="7">
        <v>54.12</v>
      </c>
      <c r="I14" s="4" t="s">
        <v>14</v>
      </c>
      <c r="J14" s="2">
        <v>1.258</v>
      </c>
      <c r="L14" s="2">
        <v>1.258</v>
      </c>
      <c r="N14" s="2">
        <v>1.258</v>
      </c>
      <c r="R14" s="2">
        <v>53</v>
      </c>
      <c r="S14" s="2"/>
      <c r="T14" s="2">
        <v>164</v>
      </c>
    </row>
    <row r="15" spans="1:21" x14ac:dyDescent="0.25">
      <c r="A15" s="2">
        <v>13</v>
      </c>
      <c r="B15" s="2">
        <v>18.03</v>
      </c>
      <c r="C15" s="2">
        <v>16.03</v>
      </c>
      <c r="D15" s="2">
        <f t="shared" si="1"/>
        <v>40.666666666666664</v>
      </c>
      <c r="E15" s="2">
        <v>20.13</v>
      </c>
      <c r="F15" s="2">
        <f t="shared" si="3"/>
        <v>109.33333333333333</v>
      </c>
      <c r="G15" s="7">
        <v>54.12</v>
      </c>
      <c r="I15" s="3" t="s">
        <v>31</v>
      </c>
      <c r="J15" s="2"/>
      <c r="N15" s="2"/>
      <c r="R15" s="2">
        <v>61</v>
      </c>
      <c r="S15" s="2"/>
      <c r="T15" s="2">
        <v>164</v>
      </c>
    </row>
    <row r="16" spans="1:21" x14ac:dyDescent="0.25">
      <c r="A16" s="2">
        <v>14</v>
      </c>
      <c r="B16" s="2">
        <v>18.03</v>
      </c>
      <c r="C16" s="2">
        <v>16.03</v>
      </c>
      <c r="D16" s="2">
        <f t="shared" si="1"/>
        <v>34</v>
      </c>
      <c r="E16" s="2">
        <v>16.829999999999998</v>
      </c>
      <c r="F16" s="2">
        <f t="shared" si="3"/>
        <v>106.66666666666667</v>
      </c>
      <c r="G16" s="7">
        <v>52.8</v>
      </c>
      <c r="I16" s="4" t="s">
        <v>15</v>
      </c>
      <c r="J16">
        <f>N16*$P$2/1000000</f>
        <v>3</v>
      </c>
      <c r="N16" s="8">
        <v>300</v>
      </c>
      <c r="R16" s="2">
        <v>51</v>
      </c>
      <c r="S16" s="2"/>
      <c r="T16" s="2">
        <v>160</v>
      </c>
    </row>
    <row r="17" spans="1:20" x14ac:dyDescent="0.25">
      <c r="A17" s="2">
        <v>15</v>
      </c>
      <c r="B17" s="2">
        <v>17.899999999999999</v>
      </c>
      <c r="C17" s="2">
        <v>15.9</v>
      </c>
      <c r="D17" s="2">
        <f t="shared" si="1"/>
        <v>20</v>
      </c>
      <c r="E17" s="2">
        <v>9.9</v>
      </c>
      <c r="F17" s="2">
        <f t="shared" si="3"/>
        <v>107.33333333333333</v>
      </c>
      <c r="G17" s="7">
        <v>53.13</v>
      </c>
      <c r="I17" s="4" t="s">
        <v>16</v>
      </c>
      <c r="J17" s="2">
        <v>0.9</v>
      </c>
      <c r="N17" s="2">
        <v>0.9</v>
      </c>
      <c r="R17" s="2">
        <v>30</v>
      </c>
      <c r="S17" s="2"/>
      <c r="T17" s="2">
        <v>161</v>
      </c>
    </row>
    <row r="18" spans="1:20" x14ac:dyDescent="0.25">
      <c r="A18" s="2">
        <v>16</v>
      </c>
      <c r="B18" s="2">
        <v>17.899999999999999</v>
      </c>
      <c r="C18" s="2">
        <v>15.9</v>
      </c>
      <c r="D18" s="2">
        <f t="shared" si="1"/>
        <v>10.666666666666666</v>
      </c>
      <c r="E18" s="2">
        <v>5.28</v>
      </c>
      <c r="F18" s="2">
        <f t="shared" si="3"/>
        <v>103.33333333333333</v>
      </c>
      <c r="G18" s="7">
        <v>51.15</v>
      </c>
      <c r="I18" s="4" t="s">
        <v>17</v>
      </c>
      <c r="J18" s="2">
        <f>N18*$P$2/1000000</f>
        <v>0.75</v>
      </c>
      <c r="N18" s="2">
        <v>75</v>
      </c>
      <c r="R18" s="2">
        <v>16</v>
      </c>
      <c r="S18" s="2"/>
      <c r="T18" s="2">
        <v>155</v>
      </c>
    </row>
    <row r="19" spans="1:20" x14ac:dyDescent="0.25">
      <c r="A19" s="2">
        <v>17</v>
      </c>
      <c r="B19" s="2">
        <v>17.77</v>
      </c>
      <c r="C19" s="2">
        <v>15.77</v>
      </c>
      <c r="D19" s="2">
        <f t="shared" si="1"/>
        <v>1.3333333333333333</v>
      </c>
      <c r="E19" s="2">
        <v>0.66</v>
      </c>
      <c r="F19" s="2">
        <f t="shared" si="3"/>
        <v>103.33333333333333</v>
      </c>
      <c r="G19" s="7">
        <v>51.15</v>
      </c>
      <c r="I19" s="4" t="s">
        <v>18</v>
      </c>
      <c r="J19" s="2">
        <v>0.2</v>
      </c>
      <c r="N19" s="2">
        <v>0.2</v>
      </c>
      <c r="R19" s="2">
        <v>2</v>
      </c>
      <c r="S19" s="2"/>
      <c r="T19" s="2">
        <v>155</v>
      </c>
    </row>
    <row r="20" spans="1:20" x14ac:dyDescent="0.25">
      <c r="A20" s="2">
        <v>18</v>
      </c>
      <c r="B20" s="2">
        <v>17.64</v>
      </c>
      <c r="C20" s="2">
        <v>15.64</v>
      </c>
      <c r="D20" s="2">
        <f t="shared" si="1"/>
        <v>0</v>
      </c>
      <c r="E20" s="2">
        <v>0</v>
      </c>
      <c r="F20" s="2">
        <f t="shared" si="3"/>
        <v>98</v>
      </c>
      <c r="G20" s="7">
        <v>48.51</v>
      </c>
      <c r="I20" s="4" t="s">
        <v>19</v>
      </c>
      <c r="J20" s="2">
        <v>0.95</v>
      </c>
      <c r="N20" s="2">
        <v>0.95</v>
      </c>
      <c r="R20" s="2">
        <v>0</v>
      </c>
      <c r="S20" s="2"/>
      <c r="T20" s="2">
        <v>147</v>
      </c>
    </row>
    <row r="21" spans="1:20" x14ac:dyDescent="0.25">
      <c r="A21" s="2">
        <v>19</v>
      </c>
      <c r="B21" s="2">
        <v>17.510000000000002</v>
      </c>
      <c r="C21" s="2">
        <v>15.51</v>
      </c>
      <c r="D21" s="2">
        <f t="shared" si="1"/>
        <v>0</v>
      </c>
      <c r="E21" s="2">
        <v>0</v>
      </c>
      <c r="F21" s="2">
        <f t="shared" si="3"/>
        <v>91.333333333333329</v>
      </c>
      <c r="G21" s="7">
        <v>45.21</v>
      </c>
      <c r="I21" s="4" t="s">
        <v>20</v>
      </c>
      <c r="J21" s="2">
        <v>0.4</v>
      </c>
      <c r="N21" s="2">
        <v>0.4</v>
      </c>
      <c r="R21" s="2">
        <v>0</v>
      </c>
      <c r="S21" s="2"/>
      <c r="T21" s="2">
        <v>137</v>
      </c>
    </row>
    <row r="22" spans="1:20" x14ac:dyDescent="0.25">
      <c r="A22" s="2">
        <v>20</v>
      </c>
      <c r="B22" s="2">
        <v>17.13</v>
      </c>
      <c r="C22" s="2">
        <v>15.13</v>
      </c>
      <c r="D22" s="2">
        <f t="shared" si="1"/>
        <v>0</v>
      </c>
      <c r="E22" s="2">
        <v>0</v>
      </c>
      <c r="F22" s="2">
        <f t="shared" si="3"/>
        <v>91.333333333333329</v>
      </c>
      <c r="G22" s="7">
        <v>45.21</v>
      </c>
      <c r="I22" s="4" t="s">
        <v>21</v>
      </c>
      <c r="J22" s="2">
        <v>7.125</v>
      </c>
      <c r="N22" s="2">
        <v>7.125</v>
      </c>
      <c r="R22" s="2">
        <v>0</v>
      </c>
      <c r="S22" s="2"/>
      <c r="T22" s="2">
        <v>137</v>
      </c>
    </row>
    <row r="23" spans="1:20" x14ac:dyDescent="0.25">
      <c r="A23" s="2">
        <v>21</v>
      </c>
      <c r="B23" s="2">
        <v>15.85</v>
      </c>
      <c r="C23" s="2">
        <v>13.85</v>
      </c>
      <c r="D23" s="2">
        <f t="shared" si="1"/>
        <v>0</v>
      </c>
      <c r="E23" s="2">
        <v>0</v>
      </c>
      <c r="F23" s="2">
        <f t="shared" si="3"/>
        <v>91.333333333333329</v>
      </c>
      <c r="G23" s="7">
        <v>45.21</v>
      </c>
      <c r="I23" s="4" t="s">
        <v>22</v>
      </c>
      <c r="J23" s="2">
        <v>100</v>
      </c>
      <c r="N23" s="2">
        <v>100</v>
      </c>
      <c r="R23" s="2">
        <v>0</v>
      </c>
      <c r="S23" s="2"/>
      <c r="T23" s="2">
        <v>137</v>
      </c>
    </row>
    <row r="24" spans="1:20" x14ac:dyDescent="0.25">
      <c r="A24" s="2">
        <v>22</v>
      </c>
      <c r="B24" s="2">
        <v>15.59</v>
      </c>
      <c r="C24" s="2">
        <v>13.59</v>
      </c>
      <c r="D24" s="2">
        <f t="shared" si="1"/>
        <v>0</v>
      </c>
      <c r="E24" s="2">
        <v>0</v>
      </c>
      <c r="F24" s="2">
        <f t="shared" si="3"/>
        <v>87.333333333333329</v>
      </c>
      <c r="G24" s="7">
        <v>43.23</v>
      </c>
      <c r="I24" s="4" t="s">
        <v>23</v>
      </c>
      <c r="J24" s="2">
        <v>0.2</v>
      </c>
      <c r="N24" s="2">
        <v>0.2</v>
      </c>
      <c r="R24" s="2">
        <v>0</v>
      </c>
      <c r="S24" s="2"/>
      <c r="T24" s="2">
        <v>131</v>
      </c>
    </row>
    <row r="25" spans="1:20" x14ac:dyDescent="0.25">
      <c r="A25" s="2">
        <v>23</v>
      </c>
      <c r="B25" s="2">
        <v>15.21</v>
      </c>
      <c r="C25" s="2">
        <v>13.21</v>
      </c>
      <c r="D25" s="2">
        <f t="shared" si="1"/>
        <v>0</v>
      </c>
      <c r="E25" s="2">
        <v>0</v>
      </c>
      <c r="F25" s="2">
        <f t="shared" si="3"/>
        <v>80.666666666666671</v>
      </c>
      <c r="G25" s="7">
        <v>39.93</v>
      </c>
      <c r="R25" s="2">
        <v>0</v>
      </c>
      <c r="S25" s="2"/>
      <c r="T25" s="2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2026-03-31T08:43:33Z</dcterms:modified>
</cp:coreProperties>
</file>