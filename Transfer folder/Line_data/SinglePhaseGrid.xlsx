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100RE LAB\UC&amp;DR\RESEARCH TOPIC\IEEE_Journal\"/>
    </mc:Choice>
  </mc:AlternateContent>
  <xr:revisionPtr revIDLastSave="0" documentId="13_ncr:1_{DA930B2B-DE45-4FFE-B225-FC32D6A9204D}" xr6:coauthVersionLast="47" xr6:coauthVersionMax="47" xr10:uidLastSave="{00000000-0000-0000-0000-000000000000}"/>
  <bookViews>
    <workbookView xWindow="-120" yWindow="-120" windowWidth="20730" windowHeight="11160" firstSheet="2" activeTab="2" xr2:uid="{FC4BD94D-517C-4CA8-BC74-8B3901605BA4}"/>
  </bookViews>
  <sheets>
    <sheet name="System Data" sheetId="3" r:id="rId1"/>
    <sheet name="Load Data" sheetId="4" r:id="rId2"/>
    <sheet name="Line Data" sheetId="5" r:id="rId3"/>
    <sheet name="Line Impedence" sheetId="6" r:id="rId4"/>
  </sheets>
  <definedNames>
    <definedName name="_xlnm._FilterDatabase" localSheetId="2" hidden="1">'Line Data'!$A$3:$R$122</definedName>
    <definedName name="_xlnm._FilterDatabase" localSheetId="1" hidden="1">'Load Data'!$A$5:$C$90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F4" i="5"/>
  <c r="F6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8" i="5"/>
  <c r="F17" i="5"/>
  <c r="F16" i="5"/>
  <c r="F15" i="5"/>
  <c r="F14" i="5"/>
  <c r="F13" i="5"/>
  <c r="F12" i="5"/>
  <c r="F11" i="5"/>
  <c r="F10" i="5"/>
  <c r="F9" i="5"/>
  <c r="F8" i="5"/>
  <c r="F7" i="5"/>
  <c r="F5" i="5"/>
</calcChain>
</file>

<file path=xl/sharedStrings.xml><?xml version="1.0" encoding="utf-8"?>
<sst xmlns="http://schemas.openxmlformats.org/spreadsheetml/2006/main" count="700" uniqueCount="78">
  <si>
    <t>Component</t>
  </si>
  <si>
    <t>Parameter</t>
  </si>
  <si>
    <t>Value</t>
  </si>
  <si>
    <t>PV (3-phase)</t>
  </si>
  <si>
    <t>Capacity</t>
  </si>
  <si>
    <t>300 kW</t>
  </si>
  <si>
    <t>PV (1-phase)</t>
  </si>
  <si>
    <t>100 kW</t>
  </si>
  <si>
    <t>Wind Turbine</t>
  </si>
  <si>
    <t>500 kW</t>
  </si>
  <si>
    <t>Diesel Gen</t>
  </si>
  <si>
    <t>BESS</t>
  </si>
  <si>
    <t>Power Capacity</t>
  </si>
  <si>
    <t>Energy Capacity</t>
  </si>
  <si>
    <t>1000 kWh</t>
  </si>
  <si>
    <t>Charging Efficiency</t>
  </si>
  <si>
    <t>ηC (unspecified)</t>
  </si>
  <si>
    <t>Discharging Eff.</t>
  </si>
  <si>
    <t>ηD (unspecified)</t>
  </si>
  <si>
    <t>Electricity Price</t>
  </si>
  <si>
    <t>Buy (off-peak 11PM - 6AM)</t>
  </si>
  <si>
    <t>$0.08/kWh</t>
  </si>
  <si>
    <t>Buy (peak)</t>
  </si>
  <si>
    <t>$0.10/kWh</t>
  </si>
  <si>
    <t>Sell</t>
  </si>
  <si>
    <t>$0.04/kWh</t>
  </si>
  <si>
    <t>PV and Wind Error</t>
  </si>
  <si>
    <t>Gaussian (mean = 0, SD = 10% of predicted)</t>
  </si>
  <si>
    <t>Load Error</t>
  </si>
  <si>
    <t>Gaussian (mean = 0, SD = 5% of nominal load)</t>
  </si>
  <si>
    <t>Loads</t>
  </si>
  <si>
    <t>Node</t>
  </si>
  <si>
    <t>Load</t>
  </si>
  <si>
    <t>Ph-1</t>
  </si>
  <si>
    <t>Model</t>
  </si>
  <si>
    <t>kW</t>
  </si>
  <si>
    <t>kVAr</t>
  </si>
  <si>
    <t>MG1</t>
  </si>
  <si>
    <t>Y-Z</t>
  </si>
  <si>
    <t>Y-PQ</t>
  </si>
  <si>
    <t>Y-I</t>
  </si>
  <si>
    <t>D-PQ</t>
  </si>
  <si>
    <t>MG2</t>
  </si>
  <si>
    <t>D-I</t>
  </si>
  <si>
    <t>MG3</t>
  </si>
  <si>
    <t>MG4</t>
  </si>
  <si>
    <t>Y-PR</t>
  </si>
  <si>
    <t>D-Z</t>
  </si>
  <si>
    <t>Total</t>
  </si>
  <si>
    <t>Line Segment Data</t>
  </si>
  <si>
    <t>Node A</t>
  </si>
  <si>
    <t>Node B</t>
  </si>
  <si>
    <t>Length (ft)</t>
  </si>
  <si>
    <t>Mile</t>
  </si>
  <si>
    <t>Config</t>
  </si>
  <si>
    <t>Raa+jXaa</t>
  </si>
  <si>
    <t>0.4666 + j1.0482</t>
  </si>
  <si>
    <t>0.4576 + j1.078</t>
  </si>
  <si>
    <t>1.3292 + j1.3475</t>
  </si>
  <si>
    <t>0.4615 + j1.0651</t>
  </si>
  <si>
    <t>1.5209 + j0.7521</t>
  </si>
  <si>
    <t>Configuration</t>
  </si>
  <si>
    <t>Rab+jXab</t>
  </si>
  <si>
    <t>Rac+jXac</t>
  </si>
  <si>
    <t>Rba+jXba</t>
  </si>
  <si>
    <t>Rbb+jXbb</t>
  </si>
  <si>
    <t>Rbc+jXbc</t>
  </si>
  <si>
    <t>Rca+jXca</t>
  </si>
  <si>
    <t>Rcb+jXcb</t>
  </si>
  <si>
    <t>Rcc+jXcc</t>
  </si>
  <si>
    <t>0.156 + j0.5017</t>
  </si>
  <si>
    <t>0.1535 + j0.3849</t>
  </si>
  <si>
    <t>0.158 + j0.4236</t>
  </si>
  <si>
    <t>0.0 + j0.0</t>
  </si>
  <si>
    <t>0.5198 + j0.2775</t>
  </si>
  <si>
    <t>0.4924 + j0.2157</t>
  </si>
  <si>
    <t>1.5329 + j0.7162</t>
  </si>
  <si>
    <t>1.5209+j0.7521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</si>
</sst>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0"/>
      <name val="Arial"/>
    </font>
    <font>
      <sz val="12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2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5" fillId="0" borderId="1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4" fillId="0" borderId="1" xfId="1" applyFont="1" applyBorder="1"/>
    <xf numFmtId="0" fontId="2" fillId="0" borderId="0" xfId="0" applyFont="1"/>
    <xf numFmtId="0" fontId="4" fillId="0" borderId="2" xfId="1" applyFont="1" applyBorder="1"/>
    <xf numFmtId="0" fontId="4" fillId="0" borderId="4" xfId="1" applyFont="1" applyBorder="1" applyAlignment="1">
      <alignment horizontal="left"/>
    </xf>
    <xf numFmtId="0" fontId="4" fillId="0" borderId="4" xfId="1" applyFont="1" applyBorder="1"/>
    <xf numFmtId="0" fontId="3" fillId="0" borderId="0" xfId="0" applyFont="1"/>
    <xf numFmtId="0" fontId="4" fillId="0" borderId="3" xfId="1" applyFont="1" applyBorder="1" applyAlignment="1">
      <alignment horizontal="left"/>
    </xf>
    <xf numFmtId="0" fontId="4" fillId="0" borderId="5" xfId="1" applyFont="1" applyBorder="1"/>
    <xf numFmtId="0" fontId="4" fillId="0" borderId="9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6" xfId="1" applyFont="1" applyBorder="1"/>
    <xf numFmtId="0" fontId="4" fillId="0" borderId="14" xfId="1" applyFont="1" applyBorder="1"/>
    <xf numFmtId="0" fontId="4" fillId="0" borderId="15" xfId="1" applyFont="1" applyBorder="1" applyAlignment="1">
      <alignment horizontal="left"/>
    </xf>
    <xf numFmtId="0" fontId="4" fillId="0" borderId="14" xfId="1" applyFont="1" applyBorder="1" applyAlignment="1">
      <alignment horizontal="left"/>
    </xf>
    <xf numFmtId="0" fontId="4" fillId="0" borderId="13" xfId="1" applyFont="1" applyBorder="1" applyAlignment="1">
      <alignment horizontal="left"/>
    </xf>
    <xf numFmtId="0" fontId="4" fillId="0" borderId="13" xfId="1" applyFont="1" applyBorder="1"/>
    <xf numFmtId="0" fontId="4" fillId="0" borderId="10" xfId="1" applyFont="1" applyBorder="1"/>
    <xf numFmtId="0" fontId="4" fillId="0" borderId="11" xfId="1" applyFont="1" applyBorder="1" applyAlignment="1">
      <alignment horizontal="left"/>
    </xf>
    <xf numFmtId="0" fontId="4" fillId="0" borderId="12" xfId="1" applyFont="1" applyBorder="1" applyAlignment="1">
      <alignment horizontal="left"/>
    </xf>
    <xf numFmtId="0" fontId="4" fillId="0" borderId="12" xfId="1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4" xfId="1" applyFont="1" applyBorder="1" applyAlignment="1">
      <alignment horizontal="center"/>
    </xf>
  </cellXfs>
  <cellStyles count="2">
    <cellStyle name="Normal" xfId="0" builtinId="0"/>
    <cellStyle name="Normal 2" xfId="1" xr:uid="{8B89005E-5C07-4091-BE33-1B55BE6D26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3B67-3107-4294-A0F8-DC0210C86660}">
  <dimension ref="A1:C14"/>
  <sheetViews>
    <sheetView zoomScale="77" workbookViewId="0">
      <selection activeCell="C11" sqref="C11"/>
    </sheetView>
  </sheetViews>
  <sheetFormatPr defaultRowHeight="14.25" x14ac:dyDescent="0.2"/>
  <cols>
    <col min="1" max="1" width="17.875" customWidth="1"/>
    <col min="2" max="2" width="27.625" customWidth="1"/>
    <col min="3" max="3" width="17.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4</v>
      </c>
      <c r="C3" s="2" t="s">
        <v>7</v>
      </c>
    </row>
    <row r="4" spans="1:3" x14ac:dyDescent="0.2">
      <c r="A4" s="2" t="s">
        <v>8</v>
      </c>
      <c r="B4" s="2" t="s">
        <v>4</v>
      </c>
      <c r="C4" s="2" t="s">
        <v>9</v>
      </c>
    </row>
    <row r="5" spans="1:3" x14ac:dyDescent="0.2">
      <c r="A5" s="2" t="s">
        <v>10</v>
      </c>
      <c r="B5" s="2" t="s">
        <v>4</v>
      </c>
      <c r="C5" s="2" t="s">
        <v>5</v>
      </c>
    </row>
    <row r="6" spans="1:3" x14ac:dyDescent="0.2">
      <c r="A6" s="2" t="s">
        <v>11</v>
      </c>
      <c r="B6" s="2" t="s">
        <v>12</v>
      </c>
      <c r="C6" s="2" t="s">
        <v>7</v>
      </c>
    </row>
    <row r="7" spans="1:3" x14ac:dyDescent="0.2">
      <c r="A7" s="2" t="s">
        <v>11</v>
      </c>
      <c r="B7" s="2" t="s">
        <v>13</v>
      </c>
      <c r="C7" s="2" t="s">
        <v>14</v>
      </c>
    </row>
    <row r="8" spans="1:3" x14ac:dyDescent="0.2">
      <c r="A8" s="2" t="s">
        <v>11</v>
      </c>
      <c r="B8" s="2" t="s">
        <v>15</v>
      </c>
      <c r="C8" s="2" t="s">
        <v>16</v>
      </c>
    </row>
    <row r="9" spans="1:3" x14ac:dyDescent="0.2">
      <c r="A9" s="2" t="s">
        <v>11</v>
      </c>
      <c r="B9" s="2" t="s">
        <v>17</v>
      </c>
      <c r="C9" s="2" t="s">
        <v>18</v>
      </c>
    </row>
    <row r="10" spans="1:3" x14ac:dyDescent="0.2">
      <c r="A10" s="2" t="s">
        <v>19</v>
      </c>
      <c r="B10" s="2" t="s">
        <v>20</v>
      </c>
      <c r="C10" s="2" t="s">
        <v>21</v>
      </c>
    </row>
    <row r="11" spans="1:3" x14ac:dyDescent="0.2">
      <c r="A11" s="2" t="s">
        <v>19</v>
      </c>
      <c r="B11" s="2" t="s">
        <v>22</v>
      </c>
      <c r="C11" s="2" t="s">
        <v>23</v>
      </c>
    </row>
    <row r="12" spans="1:3" x14ac:dyDescent="0.2">
      <c r="A12" s="2" t="s">
        <v>19</v>
      </c>
      <c r="B12" s="2" t="s">
        <v>24</v>
      </c>
      <c r="C12" s="2" t="s">
        <v>25</v>
      </c>
    </row>
    <row r="13" spans="1:3" x14ac:dyDescent="0.2">
      <c r="A13" s="2" t="s">
        <v>26</v>
      </c>
      <c r="B13" s="25" t="s">
        <v>27</v>
      </c>
      <c r="C13" s="26"/>
    </row>
    <row r="14" spans="1:3" x14ac:dyDescent="0.2">
      <c r="A14" s="2" t="s">
        <v>28</v>
      </c>
      <c r="B14" s="25" t="s">
        <v>29</v>
      </c>
      <c r="C14" s="26"/>
    </row>
  </sheetData>
  <mergeCells count="2">
    <mergeCell ref="B13:C13"/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D88C-829D-4FF4-9A01-6E0DA9EC5B96}">
  <dimension ref="A1:E90"/>
  <sheetViews>
    <sheetView zoomScale="56" zoomScaleNormal="115" workbookViewId="0">
      <selection activeCell="H16" sqref="H16"/>
    </sheetView>
  </sheetViews>
  <sheetFormatPr defaultRowHeight="14.25" x14ac:dyDescent="0.2"/>
  <cols>
    <col min="2" max="2" width="34" bestFit="1" customWidth="1"/>
  </cols>
  <sheetData>
    <row r="1" spans="1:5" ht="15" x14ac:dyDescent="0.2">
      <c r="A1" s="6" t="s">
        <v>30</v>
      </c>
      <c r="B1" s="6"/>
      <c r="C1" s="6"/>
    </row>
    <row r="2" spans="1:5" ht="15" x14ac:dyDescent="0.2">
      <c r="A2" s="6"/>
      <c r="B2" s="6"/>
      <c r="C2" s="6"/>
    </row>
    <row r="3" spans="1:5" ht="15" x14ac:dyDescent="0.2">
      <c r="A3" s="27" t="s">
        <v>31</v>
      </c>
      <c r="B3" s="28"/>
      <c r="C3" s="5" t="s">
        <v>32</v>
      </c>
      <c r="D3" s="31" t="s">
        <v>33</v>
      </c>
      <c r="E3" s="32"/>
    </row>
    <row r="4" spans="1:5" ht="15" x14ac:dyDescent="0.2">
      <c r="A4" s="29"/>
      <c r="B4" s="30"/>
      <c r="C4" s="5" t="s">
        <v>34</v>
      </c>
      <c r="D4" s="5" t="s">
        <v>35</v>
      </c>
      <c r="E4" s="5" t="s">
        <v>36</v>
      </c>
    </row>
    <row r="5" spans="1:5" ht="15" x14ac:dyDescent="0.2">
      <c r="A5" s="7" t="s">
        <v>37</v>
      </c>
      <c r="B5" s="8">
        <v>1</v>
      </c>
      <c r="C5" s="9" t="s">
        <v>38</v>
      </c>
      <c r="D5" s="5">
        <v>40</v>
      </c>
      <c r="E5" s="5">
        <v>20</v>
      </c>
    </row>
    <row r="6" spans="1:5" ht="15" x14ac:dyDescent="0.2">
      <c r="A6" s="7" t="s">
        <v>37</v>
      </c>
      <c r="B6" s="8">
        <v>2</v>
      </c>
      <c r="C6" s="9" t="s">
        <v>39</v>
      </c>
      <c r="D6" s="5">
        <v>40</v>
      </c>
      <c r="E6" s="5">
        <v>20</v>
      </c>
    </row>
    <row r="7" spans="1:5" ht="15" x14ac:dyDescent="0.2">
      <c r="A7" s="7" t="s">
        <v>37</v>
      </c>
      <c r="B7" s="8">
        <v>4</v>
      </c>
      <c r="C7" s="9" t="s">
        <v>40</v>
      </c>
      <c r="D7" s="5">
        <v>40</v>
      </c>
      <c r="E7" s="5">
        <v>20</v>
      </c>
    </row>
    <row r="8" spans="1:5" ht="15" x14ac:dyDescent="0.2">
      <c r="A8" s="7" t="s">
        <v>37</v>
      </c>
      <c r="B8" s="8">
        <v>7</v>
      </c>
      <c r="C8" s="9" t="s">
        <v>39</v>
      </c>
      <c r="D8" s="5">
        <v>20</v>
      </c>
      <c r="E8" s="5">
        <v>10</v>
      </c>
    </row>
    <row r="9" spans="1:5" ht="15" x14ac:dyDescent="0.2">
      <c r="A9" s="7" t="s">
        <v>37</v>
      </c>
      <c r="B9" s="8">
        <v>8</v>
      </c>
      <c r="C9" s="9" t="s">
        <v>39</v>
      </c>
      <c r="D9" s="5">
        <v>20</v>
      </c>
      <c r="E9" s="5">
        <v>10</v>
      </c>
    </row>
    <row r="10" spans="1:5" ht="15" x14ac:dyDescent="0.2">
      <c r="A10" s="7" t="s">
        <v>37</v>
      </c>
      <c r="B10" s="8">
        <v>10</v>
      </c>
      <c r="C10" s="9" t="s">
        <v>40</v>
      </c>
      <c r="D10" s="5">
        <v>40</v>
      </c>
      <c r="E10" s="5">
        <v>20</v>
      </c>
    </row>
    <row r="11" spans="1:5" ht="15" x14ac:dyDescent="0.2">
      <c r="A11" s="7" t="s">
        <v>37</v>
      </c>
      <c r="B11" s="8">
        <v>12</v>
      </c>
      <c r="C11" s="9" t="s">
        <v>39</v>
      </c>
      <c r="D11" s="5">
        <v>40</v>
      </c>
      <c r="E11" s="5">
        <v>20</v>
      </c>
    </row>
    <row r="12" spans="1:5" ht="15" x14ac:dyDescent="0.2">
      <c r="A12" s="7" t="s">
        <v>37</v>
      </c>
      <c r="B12" s="8">
        <v>14</v>
      </c>
      <c r="C12" s="9" t="s">
        <v>38</v>
      </c>
      <c r="D12" s="5">
        <v>40</v>
      </c>
      <c r="E12" s="5">
        <v>20</v>
      </c>
    </row>
    <row r="13" spans="1:5" ht="15" x14ac:dyDescent="0.2">
      <c r="A13" s="7" t="s">
        <v>37</v>
      </c>
      <c r="B13" s="8">
        <v>16</v>
      </c>
      <c r="C13" s="9" t="s">
        <v>39</v>
      </c>
      <c r="D13" s="5">
        <v>40</v>
      </c>
      <c r="E13" s="5">
        <v>20</v>
      </c>
    </row>
    <row r="14" spans="1:5" ht="15" x14ac:dyDescent="0.2">
      <c r="A14" s="7" t="s">
        <v>37</v>
      </c>
      <c r="B14" s="8">
        <v>17</v>
      </c>
      <c r="C14" s="9" t="s">
        <v>40</v>
      </c>
      <c r="D14" s="5">
        <v>40</v>
      </c>
      <c r="E14" s="5">
        <v>20</v>
      </c>
    </row>
    <row r="15" spans="1:5" ht="15" x14ac:dyDescent="0.2">
      <c r="A15" s="7" t="s">
        <v>37</v>
      </c>
      <c r="B15" s="8">
        <v>19</v>
      </c>
      <c r="C15" s="9" t="s">
        <v>41</v>
      </c>
      <c r="D15" s="5">
        <v>40</v>
      </c>
      <c r="E15" s="5">
        <v>20</v>
      </c>
    </row>
    <row r="16" spans="1:5" ht="15" x14ac:dyDescent="0.2">
      <c r="A16" s="7" t="s">
        <v>37</v>
      </c>
      <c r="B16" s="8">
        <v>21</v>
      </c>
      <c r="C16" s="9" t="s">
        <v>39</v>
      </c>
      <c r="D16" s="5">
        <v>20</v>
      </c>
      <c r="E16" s="5">
        <v>10</v>
      </c>
    </row>
    <row r="17" spans="1:5" ht="15" x14ac:dyDescent="0.2">
      <c r="A17" s="7" t="s">
        <v>37</v>
      </c>
      <c r="B17" s="8">
        <v>22</v>
      </c>
      <c r="C17" s="9" t="s">
        <v>39</v>
      </c>
      <c r="D17" s="5">
        <v>20</v>
      </c>
      <c r="E17" s="5">
        <v>10</v>
      </c>
    </row>
    <row r="18" spans="1:5" ht="15" x14ac:dyDescent="0.2">
      <c r="A18" s="7" t="s">
        <v>37</v>
      </c>
      <c r="B18" s="8">
        <v>23</v>
      </c>
      <c r="C18" s="9" t="s">
        <v>38</v>
      </c>
      <c r="D18" s="5">
        <v>40</v>
      </c>
      <c r="E18" s="5">
        <v>20</v>
      </c>
    </row>
    <row r="19" spans="1:5" ht="15" x14ac:dyDescent="0.2">
      <c r="A19" s="7" t="s">
        <v>37</v>
      </c>
      <c r="B19" s="8">
        <v>25</v>
      </c>
      <c r="C19" s="9" t="s">
        <v>40</v>
      </c>
      <c r="D19" s="5">
        <v>20</v>
      </c>
      <c r="E19" s="5">
        <v>10</v>
      </c>
    </row>
    <row r="20" spans="1:5" ht="15" x14ac:dyDescent="0.2">
      <c r="A20" s="7" t="s">
        <v>37</v>
      </c>
      <c r="B20" s="8">
        <v>26</v>
      </c>
      <c r="C20" s="9" t="s">
        <v>39</v>
      </c>
      <c r="D20" s="5">
        <v>20</v>
      </c>
      <c r="E20" s="5">
        <v>10</v>
      </c>
    </row>
    <row r="21" spans="1:5" ht="15" x14ac:dyDescent="0.2">
      <c r="A21" s="7" t="s">
        <v>37</v>
      </c>
      <c r="B21" s="8">
        <v>27</v>
      </c>
      <c r="C21" s="9" t="s">
        <v>40</v>
      </c>
      <c r="D21" s="5">
        <v>35</v>
      </c>
      <c r="E21" s="5">
        <v>25</v>
      </c>
    </row>
    <row r="22" spans="1:5" ht="15" x14ac:dyDescent="0.2">
      <c r="A22" s="7" t="s">
        <v>37</v>
      </c>
      <c r="B22" s="8">
        <v>28</v>
      </c>
      <c r="C22" s="9" t="s">
        <v>38</v>
      </c>
      <c r="D22" s="5">
        <v>70</v>
      </c>
      <c r="E22" s="5">
        <v>50</v>
      </c>
    </row>
    <row r="23" spans="1:5" ht="15" x14ac:dyDescent="0.2">
      <c r="A23" s="7" t="s">
        <v>37</v>
      </c>
      <c r="B23" s="8">
        <v>29</v>
      </c>
      <c r="C23" s="9" t="s">
        <v>39</v>
      </c>
      <c r="D23" s="5">
        <v>35</v>
      </c>
      <c r="E23" s="5">
        <v>25</v>
      </c>
    </row>
    <row r="24" spans="1:5" ht="15" x14ac:dyDescent="0.2">
      <c r="A24" s="7" t="s">
        <v>37</v>
      </c>
      <c r="B24" s="8">
        <v>30</v>
      </c>
      <c r="C24" s="9" t="s">
        <v>39</v>
      </c>
      <c r="D24" s="5">
        <v>40</v>
      </c>
      <c r="E24" s="5">
        <v>20</v>
      </c>
    </row>
    <row r="25" spans="1:5" ht="15" x14ac:dyDescent="0.2">
      <c r="A25" s="7" t="s">
        <v>37</v>
      </c>
      <c r="B25" s="8">
        <v>31</v>
      </c>
      <c r="C25" s="9" t="s">
        <v>39</v>
      </c>
      <c r="D25" s="5">
        <v>20</v>
      </c>
      <c r="E25" s="5">
        <v>10</v>
      </c>
    </row>
    <row r="26" spans="1:5" ht="15" x14ac:dyDescent="0.2">
      <c r="A26" s="7" t="s">
        <v>37</v>
      </c>
      <c r="B26" s="8">
        <v>34</v>
      </c>
      <c r="C26" s="9" t="s">
        <v>38</v>
      </c>
      <c r="D26" s="5">
        <v>40</v>
      </c>
      <c r="E26" s="5">
        <v>20</v>
      </c>
    </row>
    <row r="27" spans="1:5" ht="15" x14ac:dyDescent="0.2">
      <c r="A27" s="7" t="s">
        <v>37</v>
      </c>
      <c r="B27" s="8">
        <v>35</v>
      </c>
      <c r="C27" s="9" t="s">
        <v>40</v>
      </c>
      <c r="D27" s="5">
        <v>20</v>
      </c>
      <c r="E27" s="5">
        <v>10</v>
      </c>
    </row>
    <row r="28" spans="1:5" ht="15" x14ac:dyDescent="0.2">
      <c r="A28" s="7" t="s">
        <v>37</v>
      </c>
      <c r="B28" s="8">
        <v>36</v>
      </c>
      <c r="C28" s="9" t="s">
        <v>39</v>
      </c>
      <c r="D28" s="5">
        <v>20</v>
      </c>
      <c r="E28" s="5">
        <v>10</v>
      </c>
    </row>
    <row r="29" spans="1:5" ht="15" x14ac:dyDescent="0.2">
      <c r="A29" s="7" t="s">
        <v>42</v>
      </c>
      <c r="B29" s="8">
        <v>1</v>
      </c>
      <c r="C29" s="9" t="s">
        <v>39</v>
      </c>
      <c r="D29" s="5">
        <v>0</v>
      </c>
      <c r="E29" s="5">
        <v>20</v>
      </c>
    </row>
    <row r="30" spans="1:5" ht="15" x14ac:dyDescent="0.2">
      <c r="A30" s="7" t="s">
        <v>42</v>
      </c>
      <c r="B30" s="8">
        <v>2</v>
      </c>
      <c r="C30" s="9" t="s">
        <v>39</v>
      </c>
      <c r="D30" s="5">
        <v>40</v>
      </c>
      <c r="E30" s="5">
        <v>20</v>
      </c>
    </row>
    <row r="31" spans="1:5" ht="15" x14ac:dyDescent="0.2">
      <c r="A31" s="7" t="s">
        <v>42</v>
      </c>
      <c r="B31" s="8">
        <v>4</v>
      </c>
      <c r="C31" s="9" t="s">
        <v>39</v>
      </c>
      <c r="D31" s="5">
        <v>20</v>
      </c>
      <c r="E31" s="5">
        <v>10</v>
      </c>
    </row>
    <row r="32" spans="1:5" ht="15" x14ac:dyDescent="0.2">
      <c r="A32" s="7" t="s">
        <v>42</v>
      </c>
      <c r="B32" s="8">
        <v>5</v>
      </c>
      <c r="C32" s="9" t="s">
        <v>39</v>
      </c>
      <c r="D32" s="5">
        <v>40</v>
      </c>
      <c r="E32" s="5">
        <v>20</v>
      </c>
    </row>
    <row r="33" spans="1:5" ht="15" x14ac:dyDescent="0.2">
      <c r="A33" s="7" t="s">
        <v>42</v>
      </c>
      <c r="B33" s="8">
        <v>6</v>
      </c>
      <c r="C33" s="9" t="s">
        <v>39</v>
      </c>
      <c r="D33" s="5">
        <v>40</v>
      </c>
      <c r="E33" s="5">
        <v>20</v>
      </c>
    </row>
    <row r="34" spans="1:5" ht="15" x14ac:dyDescent="0.2">
      <c r="A34" s="7" t="s">
        <v>42</v>
      </c>
      <c r="B34" s="8">
        <v>8</v>
      </c>
      <c r="C34" s="9" t="s">
        <v>38</v>
      </c>
      <c r="D34" s="5">
        <v>40</v>
      </c>
      <c r="E34" s="5">
        <v>20</v>
      </c>
    </row>
    <row r="35" spans="1:5" ht="15" x14ac:dyDescent="0.2">
      <c r="A35" s="7" t="s">
        <v>42</v>
      </c>
      <c r="B35" s="8">
        <v>9</v>
      </c>
      <c r="C35" s="9" t="s">
        <v>39</v>
      </c>
      <c r="D35" s="5">
        <v>40</v>
      </c>
      <c r="E35" s="5">
        <v>20</v>
      </c>
    </row>
    <row r="36" spans="1:5" ht="15" x14ac:dyDescent="0.2">
      <c r="A36" s="7" t="s">
        <v>42</v>
      </c>
      <c r="B36" s="8">
        <v>10</v>
      </c>
      <c r="C36" s="9" t="s">
        <v>43</v>
      </c>
      <c r="D36" s="5">
        <v>105</v>
      </c>
      <c r="E36" s="5">
        <v>80</v>
      </c>
    </row>
    <row r="37" spans="1:5" ht="15" x14ac:dyDescent="0.2">
      <c r="A37" s="7" t="s">
        <v>42</v>
      </c>
      <c r="B37" s="8">
        <v>12</v>
      </c>
      <c r="C37" s="9" t="s">
        <v>39</v>
      </c>
      <c r="D37" s="5">
        <v>40</v>
      </c>
      <c r="E37" s="5">
        <v>20</v>
      </c>
    </row>
    <row r="38" spans="1:5" ht="15" x14ac:dyDescent="0.2">
      <c r="A38" s="7" t="s">
        <v>42</v>
      </c>
      <c r="B38" s="8">
        <v>13</v>
      </c>
      <c r="C38" s="9" t="s">
        <v>38</v>
      </c>
      <c r="D38" s="5">
        <v>40</v>
      </c>
      <c r="E38" s="5">
        <v>20</v>
      </c>
    </row>
    <row r="39" spans="1:5" ht="15" x14ac:dyDescent="0.2">
      <c r="A39" s="7" t="s">
        <v>42</v>
      </c>
      <c r="B39" s="8">
        <v>14</v>
      </c>
      <c r="C39" s="9" t="s">
        <v>39</v>
      </c>
      <c r="D39" s="5">
        <v>40</v>
      </c>
      <c r="E39" s="5">
        <v>20</v>
      </c>
    </row>
    <row r="40" spans="1:5" ht="15" x14ac:dyDescent="0.2">
      <c r="A40" s="7" t="s">
        <v>42</v>
      </c>
      <c r="B40" s="8">
        <v>16</v>
      </c>
      <c r="C40" s="9" t="s">
        <v>39</v>
      </c>
      <c r="D40" s="5">
        <v>20</v>
      </c>
      <c r="E40" s="5">
        <v>10</v>
      </c>
    </row>
    <row r="41" spans="1:5" ht="15" x14ac:dyDescent="0.2">
      <c r="A41" s="7" t="s">
        <v>42</v>
      </c>
      <c r="B41" s="8">
        <v>17</v>
      </c>
      <c r="C41" s="9" t="s">
        <v>39</v>
      </c>
      <c r="D41" s="5">
        <v>40</v>
      </c>
      <c r="E41" s="5">
        <v>20</v>
      </c>
    </row>
    <row r="42" spans="1:5" ht="15" x14ac:dyDescent="0.2">
      <c r="A42" s="7" t="s">
        <v>42</v>
      </c>
      <c r="B42" s="8">
        <v>18</v>
      </c>
      <c r="C42" s="9" t="s">
        <v>39</v>
      </c>
      <c r="D42" s="5">
        <v>20</v>
      </c>
      <c r="E42" s="5">
        <v>10</v>
      </c>
    </row>
    <row r="43" spans="1:5" ht="15" x14ac:dyDescent="0.2">
      <c r="A43" s="7" t="s">
        <v>42</v>
      </c>
      <c r="B43" s="8">
        <v>19</v>
      </c>
      <c r="C43" s="9" t="s">
        <v>39</v>
      </c>
      <c r="D43" s="5">
        <v>40</v>
      </c>
      <c r="E43" s="5">
        <v>20</v>
      </c>
    </row>
    <row r="44" spans="1:5" ht="15" x14ac:dyDescent="0.2">
      <c r="A44" s="7" t="s">
        <v>42</v>
      </c>
      <c r="B44" s="8">
        <v>20</v>
      </c>
      <c r="C44" s="9" t="s">
        <v>39</v>
      </c>
      <c r="D44" s="5">
        <v>20</v>
      </c>
      <c r="E44" s="5">
        <v>10</v>
      </c>
    </row>
    <row r="45" spans="1:5" ht="15" x14ac:dyDescent="0.2">
      <c r="A45" s="7" t="s">
        <v>42</v>
      </c>
      <c r="B45" s="8">
        <v>21</v>
      </c>
      <c r="C45" s="9" t="s">
        <v>39</v>
      </c>
      <c r="D45" s="5">
        <v>40</v>
      </c>
      <c r="E45" s="5">
        <v>20</v>
      </c>
    </row>
    <row r="46" spans="1:5" ht="15" x14ac:dyDescent="0.2">
      <c r="A46" s="7" t="s">
        <v>42</v>
      </c>
      <c r="B46" s="8">
        <v>22</v>
      </c>
      <c r="C46" s="9" t="s">
        <v>39</v>
      </c>
      <c r="D46" s="5">
        <v>40</v>
      </c>
      <c r="E46" s="5">
        <v>20</v>
      </c>
    </row>
    <row r="47" spans="1:5" ht="15" x14ac:dyDescent="0.2">
      <c r="A47" s="7" t="s">
        <v>42</v>
      </c>
      <c r="B47" s="8">
        <v>24</v>
      </c>
      <c r="C47" s="9" t="s">
        <v>40</v>
      </c>
      <c r="D47" s="5">
        <v>40</v>
      </c>
      <c r="E47" s="5">
        <v>20</v>
      </c>
    </row>
    <row r="48" spans="1:5" ht="15" x14ac:dyDescent="0.2">
      <c r="A48" s="7" t="s">
        <v>42</v>
      </c>
      <c r="B48" s="8">
        <v>26</v>
      </c>
      <c r="C48" s="9" t="s">
        <v>39</v>
      </c>
      <c r="D48" s="5">
        <v>40</v>
      </c>
      <c r="E48" s="5">
        <v>20</v>
      </c>
    </row>
    <row r="49" spans="1:5" ht="15" x14ac:dyDescent="0.2">
      <c r="A49" s="7" t="s">
        <v>42</v>
      </c>
      <c r="B49" s="8">
        <v>28</v>
      </c>
      <c r="C49" s="9" t="s">
        <v>39</v>
      </c>
      <c r="D49" s="5">
        <v>40</v>
      </c>
      <c r="E49" s="5">
        <v>20</v>
      </c>
    </row>
    <row r="50" spans="1:5" ht="15" x14ac:dyDescent="0.2">
      <c r="A50" s="7" t="s">
        <v>42</v>
      </c>
      <c r="B50" s="8">
        <v>29</v>
      </c>
      <c r="C50" s="9" t="s">
        <v>39</v>
      </c>
      <c r="D50" s="5">
        <v>20</v>
      </c>
      <c r="E50" s="5">
        <v>10</v>
      </c>
    </row>
    <row r="51" spans="1:5" ht="15" x14ac:dyDescent="0.2">
      <c r="A51" s="7" t="s">
        <v>42</v>
      </c>
      <c r="B51" s="8">
        <v>30</v>
      </c>
      <c r="C51" s="9" t="s">
        <v>39</v>
      </c>
      <c r="D51" s="5">
        <v>20</v>
      </c>
      <c r="E51" s="5">
        <v>10</v>
      </c>
    </row>
    <row r="52" spans="1:5" ht="15" x14ac:dyDescent="0.2">
      <c r="A52" s="7" t="s">
        <v>44</v>
      </c>
      <c r="B52" s="8">
        <v>3</v>
      </c>
      <c r="C52" s="9" t="s">
        <v>39</v>
      </c>
      <c r="D52" s="5">
        <v>40</v>
      </c>
      <c r="E52" s="5">
        <v>20</v>
      </c>
    </row>
    <row r="53" spans="1:5" ht="15" x14ac:dyDescent="0.2">
      <c r="A53" s="7" t="s">
        <v>44</v>
      </c>
      <c r="B53" s="8">
        <v>5</v>
      </c>
      <c r="C53" s="9" t="s">
        <v>39</v>
      </c>
      <c r="D53" s="5">
        <v>20</v>
      </c>
      <c r="E53" s="5">
        <v>10</v>
      </c>
    </row>
    <row r="54" spans="1:5" ht="15" x14ac:dyDescent="0.2">
      <c r="A54" s="7" t="s">
        <v>44</v>
      </c>
      <c r="B54" s="8">
        <v>6</v>
      </c>
      <c r="C54" s="9" t="s">
        <v>40</v>
      </c>
      <c r="D54" s="5">
        <v>20</v>
      </c>
      <c r="E54" s="5">
        <v>10</v>
      </c>
    </row>
    <row r="55" spans="1:5" ht="15" x14ac:dyDescent="0.2">
      <c r="A55" s="7" t="s">
        <v>44</v>
      </c>
      <c r="B55" s="8">
        <v>7</v>
      </c>
      <c r="C55" s="9" t="s">
        <v>38</v>
      </c>
      <c r="D55" s="5">
        <v>40</v>
      </c>
      <c r="E55" s="5">
        <v>20</v>
      </c>
    </row>
    <row r="56" spans="1:5" ht="15" x14ac:dyDescent="0.2">
      <c r="A56" s="7" t="s">
        <v>44</v>
      </c>
      <c r="B56" s="8">
        <v>8</v>
      </c>
      <c r="C56" s="9" t="s">
        <v>39</v>
      </c>
      <c r="D56" s="5">
        <v>20</v>
      </c>
      <c r="E56" s="5">
        <v>10</v>
      </c>
    </row>
    <row r="57" spans="1:5" ht="15" x14ac:dyDescent="0.2">
      <c r="A57" s="7" t="s">
        <v>44</v>
      </c>
      <c r="B57" s="8">
        <v>10</v>
      </c>
      <c r="C57" s="9" t="s">
        <v>39</v>
      </c>
      <c r="D57" s="5">
        <v>40</v>
      </c>
      <c r="E57" s="5">
        <v>40</v>
      </c>
    </row>
    <row r="58" spans="1:5" ht="15" x14ac:dyDescent="0.2">
      <c r="A58" s="7" t="s">
        <v>44</v>
      </c>
      <c r="B58" s="8">
        <v>11</v>
      </c>
      <c r="C58" s="9" t="s">
        <v>39</v>
      </c>
      <c r="D58" s="5">
        <v>40</v>
      </c>
      <c r="E58" s="5">
        <v>40</v>
      </c>
    </row>
    <row r="59" spans="1:5" ht="15" x14ac:dyDescent="0.2">
      <c r="A59" s="7" t="s">
        <v>44</v>
      </c>
      <c r="B59" s="8">
        <v>13</v>
      </c>
      <c r="C59" s="9" t="s">
        <v>39</v>
      </c>
      <c r="D59" s="5">
        <v>20</v>
      </c>
      <c r="E59" s="5">
        <v>10</v>
      </c>
    </row>
    <row r="60" spans="1:5" ht="15" x14ac:dyDescent="0.2">
      <c r="A60" s="7" t="s">
        <v>44</v>
      </c>
      <c r="B60" s="8">
        <v>14</v>
      </c>
      <c r="C60" s="9" t="s">
        <v>39</v>
      </c>
      <c r="D60" s="5">
        <v>40</v>
      </c>
      <c r="E60" s="5">
        <v>40</v>
      </c>
    </row>
    <row r="61" spans="1:5" ht="15" x14ac:dyDescent="0.2">
      <c r="A61" s="7" t="s">
        <v>44</v>
      </c>
      <c r="B61" s="8">
        <v>15</v>
      </c>
      <c r="C61" s="9" t="s">
        <v>39</v>
      </c>
      <c r="D61" s="5">
        <v>40</v>
      </c>
      <c r="E61" s="5">
        <v>40</v>
      </c>
    </row>
    <row r="62" spans="1:5" ht="15" x14ac:dyDescent="0.2">
      <c r="A62" s="7" t="s">
        <v>44</v>
      </c>
      <c r="B62" s="8">
        <v>18</v>
      </c>
      <c r="C62" s="9" t="s">
        <v>39</v>
      </c>
      <c r="D62" s="5">
        <v>40</v>
      </c>
      <c r="E62" s="5">
        <v>20</v>
      </c>
    </row>
    <row r="63" spans="1:5" ht="15" x14ac:dyDescent="0.2">
      <c r="A63" s="7" t="s">
        <v>44</v>
      </c>
      <c r="B63" s="8">
        <v>19</v>
      </c>
      <c r="C63" s="9" t="s">
        <v>39</v>
      </c>
      <c r="D63" s="5">
        <v>40</v>
      </c>
      <c r="E63" s="5">
        <v>20</v>
      </c>
    </row>
    <row r="64" spans="1:5" ht="15" x14ac:dyDescent="0.2">
      <c r="A64" s="7" t="s">
        <v>44</v>
      </c>
      <c r="B64" s="8">
        <v>20</v>
      </c>
      <c r="C64" s="9" t="s">
        <v>38</v>
      </c>
      <c r="D64" s="5">
        <v>40</v>
      </c>
      <c r="E64" s="5">
        <v>20</v>
      </c>
    </row>
    <row r="65" spans="1:5" ht="15" x14ac:dyDescent="0.2">
      <c r="A65" s="7" t="s">
        <v>45</v>
      </c>
      <c r="B65" s="8">
        <v>1</v>
      </c>
      <c r="C65" s="9" t="s">
        <v>39</v>
      </c>
      <c r="D65" s="5">
        <v>40</v>
      </c>
      <c r="E65" s="5">
        <v>20</v>
      </c>
    </row>
    <row r="66" spans="1:5" ht="15" x14ac:dyDescent="0.2">
      <c r="A66" s="7" t="s">
        <v>45</v>
      </c>
      <c r="B66" s="8">
        <v>3</v>
      </c>
      <c r="C66" s="9" t="s">
        <v>40</v>
      </c>
      <c r="D66" s="5">
        <v>20</v>
      </c>
      <c r="E66" s="5">
        <v>10</v>
      </c>
    </row>
    <row r="67" spans="1:5" ht="15" x14ac:dyDescent="0.2">
      <c r="A67" s="7" t="s">
        <v>45</v>
      </c>
      <c r="B67" s="8">
        <v>4</v>
      </c>
      <c r="C67" s="9" t="s">
        <v>38</v>
      </c>
      <c r="D67" s="5">
        <v>40</v>
      </c>
      <c r="E67" s="5">
        <v>20</v>
      </c>
    </row>
    <row r="68" spans="1:5" ht="15" x14ac:dyDescent="0.2">
      <c r="A68" s="7" t="s">
        <v>45</v>
      </c>
      <c r="B68" s="8">
        <v>5</v>
      </c>
      <c r="C68" s="9" t="s">
        <v>46</v>
      </c>
      <c r="D68" s="5">
        <v>40</v>
      </c>
      <c r="E68" s="5">
        <v>20</v>
      </c>
    </row>
    <row r="69" spans="1:5" ht="15" x14ac:dyDescent="0.2">
      <c r="A69" s="7" t="s">
        <v>45</v>
      </c>
      <c r="B69" s="8">
        <v>6</v>
      </c>
      <c r="C69" s="9" t="s">
        <v>39</v>
      </c>
      <c r="D69" s="5">
        <v>20</v>
      </c>
      <c r="E69" s="5">
        <v>10</v>
      </c>
    </row>
    <row r="70" spans="1:5" ht="15" x14ac:dyDescent="0.2">
      <c r="A70" s="7" t="s">
        <v>45</v>
      </c>
      <c r="B70" s="8">
        <v>7</v>
      </c>
      <c r="C70" s="9" t="s">
        <v>39</v>
      </c>
      <c r="D70" s="5">
        <v>20</v>
      </c>
      <c r="E70" s="5">
        <v>10</v>
      </c>
    </row>
    <row r="71" spans="1:5" ht="15" x14ac:dyDescent="0.2">
      <c r="A71" s="7" t="s">
        <v>45</v>
      </c>
      <c r="B71" s="8">
        <v>9</v>
      </c>
      <c r="C71" s="9" t="s">
        <v>39</v>
      </c>
      <c r="D71" s="5">
        <v>20</v>
      </c>
      <c r="E71" s="5">
        <v>10</v>
      </c>
    </row>
    <row r="72" spans="1:5" ht="15" x14ac:dyDescent="0.2">
      <c r="A72" s="7" t="s">
        <v>45</v>
      </c>
      <c r="B72" s="8">
        <v>10</v>
      </c>
      <c r="C72" s="9" t="s">
        <v>39</v>
      </c>
      <c r="D72" s="5">
        <v>40</v>
      </c>
      <c r="E72" s="5">
        <v>20</v>
      </c>
    </row>
    <row r="73" spans="1:5" ht="15" x14ac:dyDescent="0.2">
      <c r="A73" s="7" t="s">
        <v>45</v>
      </c>
      <c r="B73" s="8">
        <v>12</v>
      </c>
      <c r="C73" s="9" t="s">
        <v>38</v>
      </c>
      <c r="D73" s="5">
        <v>40</v>
      </c>
      <c r="E73" s="5">
        <v>20</v>
      </c>
    </row>
    <row r="74" spans="1:5" ht="15" x14ac:dyDescent="0.2">
      <c r="A74" s="7" t="s">
        <v>45</v>
      </c>
      <c r="B74" s="8">
        <v>13</v>
      </c>
      <c r="C74" s="9" t="s">
        <v>40</v>
      </c>
      <c r="D74" s="5">
        <v>20</v>
      </c>
      <c r="E74" s="5">
        <v>10</v>
      </c>
    </row>
    <row r="75" spans="1:5" ht="15" x14ac:dyDescent="0.2">
      <c r="A75" s="7" t="s">
        <v>45</v>
      </c>
      <c r="B75" s="8">
        <v>15</v>
      </c>
      <c r="C75" s="9" t="s">
        <v>38</v>
      </c>
      <c r="D75" s="5">
        <v>40</v>
      </c>
      <c r="E75" s="5">
        <v>20</v>
      </c>
    </row>
    <row r="76" spans="1:5" ht="15" x14ac:dyDescent="0.2">
      <c r="A76" s="7" t="s">
        <v>45</v>
      </c>
      <c r="B76" s="8">
        <v>17</v>
      </c>
      <c r="C76" s="9" t="s">
        <v>39</v>
      </c>
      <c r="D76" s="5">
        <v>20</v>
      </c>
      <c r="E76" s="5">
        <v>10</v>
      </c>
    </row>
    <row r="77" spans="1:5" ht="15" x14ac:dyDescent="0.2">
      <c r="A77" s="7" t="s">
        <v>45</v>
      </c>
      <c r="B77" s="8">
        <v>18</v>
      </c>
      <c r="C77" s="9" t="s">
        <v>39</v>
      </c>
      <c r="D77" s="5">
        <v>40</v>
      </c>
      <c r="E77" s="5">
        <v>20</v>
      </c>
    </row>
    <row r="78" spans="1:5" ht="15" x14ac:dyDescent="0.2">
      <c r="A78" s="7" t="s">
        <v>45</v>
      </c>
      <c r="B78" s="8">
        <v>20</v>
      </c>
      <c r="C78" s="9" t="s">
        <v>39</v>
      </c>
      <c r="D78" s="5">
        <v>40</v>
      </c>
      <c r="E78" s="5">
        <v>20</v>
      </c>
    </row>
    <row r="79" spans="1:5" ht="15" x14ac:dyDescent="0.2">
      <c r="A79" s="7" t="s">
        <v>45</v>
      </c>
      <c r="B79" s="8">
        <v>21</v>
      </c>
      <c r="C79" s="9" t="s">
        <v>39</v>
      </c>
      <c r="D79" s="5">
        <v>40</v>
      </c>
      <c r="E79" s="5">
        <v>20</v>
      </c>
    </row>
    <row r="80" spans="1:5" ht="15" x14ac:dyDescent="0.2">
      <c r="A80" s="7" t="s">
        <v>45</v>
      </c>
      <c r="B80" s="8">
        <v>23</v>
      </c>
      <c r="C80" s="9" t="s">
        <v>38</v>
      </c>
      <c r="D80" s="5">
        <v>20</v>
      </c>
      <c r="E80" s="5">
        <v>10</v>
      </c>
    </row>
    <row r="81" spans="1:5" ht="15" x14ac:dyDescent="0.2">
      <c r="A81" s="7" t="s">
        <v>45</v>
      </c>
      <c r="B81" s="8">
        <v>24</v>
      </c>
      <c r="C81" s="9" t="s">
        <v>39</v>
      </c>
      <c r="D81" s="5">
        <v>20</v>
      </c>
      <c r="E81" s="5">
        <v>10</v>
      </c>
    </row>
    <row r="82" spans="1:5" ht="15" x14ac:dyDescent="0.2">
      <c r="A82" s="7" t="s">
        <v>45</v>
      </c>
      <c r="B82" s="8">
        <v>26</v>
      </c>
      <c r="C82" s="9" t="s">
        <v>40</v>
      </c>
      <c r="D82" s="5">
        <v>20</v>
      </c>
      <c r="E82" s="5">
        <v>10</v>
      </c>
    </row>
    <row r="83" spans="1:5" ht="15" x14ac:dyDescent="0.2">
      <c r="A83" s="7" t="s">
        <v>45</v>
      </c>
      <c r="B83" s="8">
        <v>27</v>
      </c>
      <c r="C83" s="9" t="s">
        <v>39</v>
      </c>
      <c r="D83" s="5">
        <v>20</v>
      </c>
      <c r="E83" s="5">
        <v>10</v>
      </c>
    </row>
    <row r="84" spans="1:5" ht="15" x14ac:dyDescent="0.2">
      <c r="A84" s="7" t="s">
        <v>45</v>
      </c>
      <c r="B84" s="8">
        <v>28</v>
      </c>
      <c r="C84" s="9" t="s">
        <v>39</v>
      </c>
      <c r="D84" s="5">
        <v>20</v>
      </c>
      <c r="E84" s="5">
        <v>10</v>
      </c>
    </row>
    <row r="85" spans="1:5" ht="15" x14ac:dyDescent="0.2">
      <c r="A85" s="7" t="s">
        <v>45</v>
      </c>
      <c r="B85" s="8">
        <v>29</v>
      </c>
      <c r="C85" s="9" t="s">
        <v>38</v>
      </c>
      <c r="D85" s="5">
        <v>40</v>
      </c>
      <c r="E85" s="5">
        <v>20</v>
      </c>
    </row>
    <row r="86" spans="1:5" ht="15" x14ac:dyDescent="0.2">
      <c r="A86" s="7" t="s">
        <v>45</v>
      </c>
      <c r="B86" s="8">
        <v>30</v>
      </c>
      <c r="C86" s="9" t="s">
        <v>39</v>
      </c>
      <c r="D86" s="5">
        <v>40</v>
      </c>
      <c r="E86" s="5">
        <v>20</v>
      </c>
    </row>
    <row r="87" spans="1:5" ht="15" x14ac:dyDescent="0.2">
      <c r="A87" s="7" t="s">
        <v>45</v>
      </c>
      <c r="B87" s="8">
        <v>31</v>
      </c>
      <c r="C87" s="9" t="s">
        <v>40</v>
      </c>
      <c r="D87" s="5">
        <v>75</v>
      </c>
      <c r="E87" s="5">
        <v>35</v>
      </c>
    </row>
    <row r="88" spans="1:5" ht="15" x14ac:dyDescent="0.2">
      <c r="A88" s="7" t="s">
        <v>45</v>
      </c>
      <c r="B88" s="8">
        <v>32</v>
      </c>
      <c r="C88" s="9" t="s">
        <v>47</v>
      </c>
      <c r="D88" s="5">
        <v>35</v>
      </c>
      <c r="E88" s="5">
        <v>25</v>
      </c>
    </row>
    <row r="89" spans="1:5" ht="15" x14ac:dyDescent="0.2">
      <c r="A89" s="7" t="s">
        <v>45</v>
      </c>
      <c r="B89" s="8">
        <v>33</v>
      </c>
      <c r="C89" s="9" t="s">
        <v>39</v>
      </c>
      <c r="D89" s="5">
        <v>75</v>
      </c>
      <c r="E89" s="5">
        <v>35</v>
      </c>
    </row>
    <row r="90" spans="1:5" ht="15" x14ac:dyDescent="0.2">
      <c r="A90" s="7" t="s">
        <v>48</v>
      </c>
      <c r="B90" s="8"/>
      <c r="C90" s="9"/>
      <c r="D90" s="5">
        <v>2910</v>
      </c>
      <c r="E90" s="5">
        <v>1615</v>
      </c>
    </row>
  </sheetData>
  <sortState xmlns:xlrd2="http://schemas.microsoft.com/office/spreadsheetml/2017/richdata2" ref="A5:C90">
    <sortCondition ref="A5:A90"/>
    <sortCondition ref="B5:B90"/>
  </sortState>
  <mergeCells count="2">
    <mergeCell ref="A3:B4"/>
    <mergeCell ref="D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37DF-A745-4C3F-9D96-BBC42922E30B}">
  <dimension ref="A1:Q122"/>
  <sheetViews>
    <sheetView tabSelected="1" zoomScale="89" zoomScaleNormal="68" workbookViewId="0">
      <selection activeCell="H19" sqref="H19"/>
    </sheetView>
  </sheetViews>
  <sheetFormatPr defaultRowHeight="14.25" x14ac:dyDescent="0.2"/>
  <cols>
    <col min="1" max="1" width="6.625" customWidth="1"/>
    <col min="2" max="2" width="4" customWidth="1"/>
    <col min="3" max="3" width="6.375" bestFit="1" customWidth="1"/>
    <col min="4" max="4" width="4" bestFit="1" customWidth="1"/>
    <col min="5" max="5" width="14.125" bestFit="1" customWidth="1"/>
    <col min="6" max="6" width="13.75" bestFit="1" customWidth="1"/>
    <col min="7" max="7" width="8" bestFit="1" customWidth="1"/>
    <col min="8" max="8" width="22.875" customWidth="1"/>
    <col min="9" max="15" width="18.75" customWidth="1"/>
  </cols>
  <sheetData>
    <row r="1" spans="1:17" ht="20.25" x14ac:dyDescent="0.3">
      <c r="A1" s="10" t="s">
        <v>49</v>
      </c>
    </row>
    <row r="3" spans="1:17" ht="15" x14ac:dyDescent="0.2">
      <c r="A3" s="31" t="s">
        <v>50</v>
      </c>
      <c r="B3" s="32"/>
      <c r="C3" s="31" t="s">
        <v>51</v>
      </c>
      <c r="D3" s="32"/>
      <c r="E3" s="5" t="s">
        <v>52</v>
      </c>
      <c r="F3" s="5" t="s">
        <v>53</v>
      </c>
      <c r="G3" s="5" t="s">
        <v>54</v>
      </c>
      <c r="H3" s="5" t="s">
        <v>55</v>
      </c>
      <c r="Q3" s="4"/>
    </row>
    <row r="4" spans="1:17" ht="15" x14ac:dyDescent="0.2">
      <c r="A4" s="7" t="s">
        <v>37</v>
      </c>
      <c r="B4" s="11">
        <v>1</v>
      </c>
      <c r="C4" s="7" t="s">
        <v>37</v>
      </c>
      <c r="D4" s="8">
        <v>2</v>
      </c>
      <c r="E4" s="9">
        <v>350</v>
      </c>
      <c r="F4" s="6">
        <f>E4/5280</f>
        <v>6.6287878787878785E-2</v>
      </c>
      <c r="G4" s="6">
        <v>2</v>
      </c>
      <c r="H4" s="6" t="s">
        <v>56</v>
      </c>
    </row>
    <row r="5" spans="1:17" ht="15" x14ac:dyDescent="0.2">
      <c r="A5" s="7" t="s">
        <v>37</v>
      </c>
      <c r="B5" s="11">
        <v>4</v>
      </c>
      <c r="C5" s="7" t="s">
        <v>37</v>
      </c>
      <c r="D5" s="8">
        <v>1</v>
      </c>
      <c r="E5" s="9">
        <v>300</v>
      </c>
      <c r="F5" s="6">
        <f>E5/5280</f>
        <v>5.6818181818181816E-2</v>
      </c>
      <c r="G5" s="6">
        <v>2</v>
      </c>
      <c r="H5" s="6" t="s">
        <v>56</v>
      </c>
    </row>
    <row r="6" spans="1:17" ht="15" x14ac:dyDescent="0.2">
      <c r="A6" s="7" t="s">
        <v>37</v>
      </c>
      <c r="B6" s="11">
        <v>2</v>
      </c>
      <c r="C6" s="7" t="s">
        <v>37</v>
      </c>
      <c r="D6" s="8">
        <v>3</v>
      </c>
      <c r="E6" s="9">
        <v>200</v>
      </c>
      <c r="F6" s="6">
        <f>E6/5280</f>
        <v>3.787878787878788E-2</v>
      </c>
      <c r="G6" s="6">
        <v>2</v>
      </c>
      <c r="H6" s="6" t="s">
        <v>56</v>
      </c>
    </row>
    <row r="7" spans="1:17" ht="15" x14ac:dyDescent="0.2">
      <c r="A7" s="7" t="s">
        <v>37</v>
      </c>
      <c r="B7" s="11">
        <v>5</v>
      </c>
      <c r="C7" s="7" t="s">
        <v>37</v>
      </c>
      <c r="D7" s="8">
        <v>4</v>
      </c>
      <c r="E7" s="9">
        <v>200</v>
      </c>
      <c r="F7" s="6">
        <f t="shared" ref="F7:F69" si="0">E7/5280</f>
        <v>3.787878787878788E-2</v>
      </c>
      <c r="G7" s="6">
        <v>2</v>
      </c>
      <c r="H7" s="6" t="s">
        <v>56</v>
      </c>
    </row>
    <row r="8" spans="1:17" ht="15" x14ac:dyDescent="0.2">
      <c r="A8" s="7" t="s">
        <v>37</v>
      </c>
      <c r="B8" s="11">
        <v>5</v>
      </c>
      <c r="C8" s="7" t="s">
        <v>37</v>
      </c>
      <c r="D8" s="8">
        <v>6</v>
      </c>
      <c r="E8" s="9">
        <v>350</v>
      </c>
      <c r="F8" s="6">
        <f t="shared" si="0"/>
        <v>6.6287878787878785E-2</v>
      </c>
      <c r="G8" s="6">
        <v>7</v>
      </c>
      <c r="H8" s="6" t="s">
        <v>57</v>
      </c>
    </row>
    <row r="9" spans="1:17" ht="15" x14ac:dyDescent="0.2">
      <c r="A9" s="7" t="s">
        <v>37</v>
      </c>
      <c r="B9" s="11">
        <v>11</v>
      </c>
      <c r="C9" s="7" t="s">
        <v>37</v>
      </c>
      <c r="D9" s="8">
        <v>5</v>
      </c>
      <c r="E9" s="9">
        <v>275</v>
      </c>
      <c r="F9" s="6">
        <f t="shared" si="0"/>
        <v>5.2083333333333336E-2</v>
      </c>
      <c r="G9" s="6">
        <v>2</v>
      </c>
      <c r="H9" s="6" t="s">
        <v>56</v>
      </c>
    </row>
    <row r="10" spans="1:17" ht="15" x14ac:dyDescent="0.2">
      <c r="A10" s="7" t="s">
        <v>37</v>
      </c>
      <c r="B10" s="11">
        <v>6</v>
      </c>
      <c r="C10" s="7" t="s">
        <v>37</v>
      </c>
      <c r="D10" s="8">
        <v>9</v>
      </c>
      <c r="E10" s="9">
        <v>275</v>
      </c>
      <c r="F10" s="6">
        <f t="shared" si="0"/>
        <v>5.2083333333333336E-2</v>
      </c>
      <c r="G10" s="6">
        <v>7</v>
      </c>
      <c r="H10" s="6" t="s">
        <v>57</v>
      </c>
    </row>
    <row r="11" spans="1:17" ht="15" x14ac:dyDescent="0.2">
      <c r="A11" s="7" t="s">
        <v>37</v>
      </c>
      <c r="B11" s="11">
        <v>6</v>
      </c>
      <c r="C11" s="7" t="s">
        <v>37</v>
      </c>
      <c r="D11" s="8">
        <v>7</v>
      </c>
      <c r="E11" s="9">
        <v>225</v>
      </c>
      <c r="F11" s="6">
        <f t="shared" si="0"/>
        <v>4.261363636363636E-2</v>
      </c>
      <c r="G11" s="6">
        <v>11</v>
      </c>
      <c r="H11" s="6" t="s">
        <v>58</v>
      </c>
    </row>
    <row r="12" spans="1:17" ht="15" x14ac:dyDescent="0.2">
      <c r="A12" s="7" t="s">
        <v>37</v>
      </c>
      <c r="B12" s="11">
        <v>7</v>
      </c>
      <c r="C12" s="7" t="s">
        <v>37</v>
      </c>
      <c r="D12" s="8">
        <v>8</v>
      </c>
      <c r="E12" s="9">
        <v>300</v>
      </c>
      <c r="F12" s="6">
        <f t="shared" si="0"/>
        <v>5.6818181818181816E-2</v>
      </c>
      <c r="G12" s="6">
        <v>11</v>
      </c>
      <c r="H12" s="6" t="s">
        <v>58</v>
      </c>
    </row>
    <row r="13" spans="1:17" ht="15" x14ac:dyDescent="0.2">
      <c r="A13" s="7" t="s">
        <v>37</v>
      </c>
      <c r="B13" s="11">
        <v>9</v>
      </c>
      <c r="C13" s="7" t="s">
        <v>37</v>
      </c>
      <c r="D13" s="8">
        <v>10</v>
      </c>
      <c r="E13" s="9">
        <v>500</v>
      </c>
      <c r="F13" s="6">
        <f t="shared" si="0"/>
        <v>9.4696969696969696E-2</v>
      </c>
      <c r="G13" s="6">
        <v>9</v>
      </c>
      <c r="H13" s="6" t="s">
        <v>58</v>
      </c>
    </row>
    <row r="14" spans="1:17" ht="15" x14ac:dyDescent="0.2">
      <c r="A14" s="7" t="s">
        <v>37</v>
      </c>
      <c r="B14" s="11">
        <v>11</v>
      </c>
      <c r="C14" s="7" t="s">
        <v>37</v>
      </c>
      <c r="D14" s="8">
        <v>12</v>
      </c>
      <c r="E14" s="9">
        <v>550</v>
      </c>
      <c r="F14" s="6">
        <f t="shared" si="0"/>
        <v>0.10416666666666667</v>
      </c>
      <c r="G14" s="6">
        <v>11</v>
      </c>
      <c r="H14" s="6" t="s">
        <v>58</v>
      </c>
    </row>
    <row r="15" spans="1:17" ht="15" x14ac:dyDescent="0.2">
      <c r="A15" s="7" t="s">
        <v>37</v>
      </c>
      <c r="B15" s="11">
        <v>13</v>
      </c>
      <c r="C15" s="7" t="s">
        <v>37</v>
      </c>
      <c r="D15" s="8">
        <v>11</v>
      </c>
      <c r="E15" s="9">
        <v>250</v>
      </c>
      <c r="F15" s="6">
        <f t="shared" si="0"/>
        <v>4.7348484848484848E-2</v>
      </c>
      <c r="G15" s="6">
        <v>2</v>
      </c>
      <c r="H15" s="6" t="s">
        <v>56</v>
      </c>
    </row>
    <row r="16" spans="1:17" ht="15" x14ac:dyDescent="0.2">
      <c r="A16" s="7" t="s">
        <v>37</v>
      </c>
      <c r="B16" s="11">
        <v>13</v>
      </c>
      <c r="C16" s="7" t="s">
        <v>37</v>
      </c>
      <c r="D16" s="8">
        <v>14</v>
      </c>
      <c r="E16" s="9">
        <v>525</v>
      </c>
      <c r="F16" s="6">
        <f t="shared" si="0"/>
        <v>9.9431818181818177E-2</v>
      </c>
      <c r="G16" s="6">
        <v>10</v>
      </c>
      <c r="H16" s="6" t="s">
        <v>58</v>
      </c>
    </row>
    <row r="17" spans="1:8" ht="15" x14ac:dyDescent="0.2">
      <c r="A17" s="7" t="s">
        <v>37</v>
      </c>
      <c r="B17" s="11">
        <v>15</v>
      </c>
      <c r="C17" s="7" t="s">
        <v>37</v>
      </c>
      <c r="D17" s="8">
        <v>13</v>
      </c>
      <c r="E17" s="9">
        <v>300</v>
      </c>
      <c r="F17" s="6">
        <f t="shared" si="0"/>
        <v>5.6818181818181816E-2</v>
      </c>
      <c r="G17" s="6">
        <v>2</v>
      </c>
      <c r="H17" s="6" t="s">
        <v>56</v>
      </c>
    </row>
    <row r="18" spans="1:8" ht="15" x14ac:dyDescent="0.2">
      <c r="A18" s="7" t="s">
        <v>37</v>
      </c>
      <c r="B18" s="11">
        <v>15</v>
      </c>
      <c r="C18" s="7" t="s">
        <v>37</v>
      </c>
      <c r="D18" s="8">
        <v>16</v>
      </c>
      <c r="E18" s="9">
        <v>250</v>
      </c>
      <c r="F18" s="6">
        <f t="shared" si="0"/>
        <v>4.7348484848484848E-2</v>
      </c>
      <c r="G18" s="6">
        <v>9</v>
      </c>
      <c r="H18" s="6" t="s">
        <v>58</v>
      </c>
    </row>
    <row r="19" spans="1:8" ht="15" x14ac:dyDescent="0.2">
      <c r="A19" s="7" t="s">
        <v>37</v>
      </c>
      <c r="B19" s="11">
        <v>15</v>
      </c>
      <c r="C19" s="7" t="s">
        <v>37</v>
      </c>
      <c r="D19" s="8">
        <v>18</v>
      </c>
      <c r="E19" s="9">
        <v>300</v>
      </c>
      <c r="F19" s="6">
        <f t="shared" si="0"/>
        <v>5.6818181818181816E-2</v>
      </c>
      <c r="G19" s="6">
        <v>2</v>
      </c>
      <c r="H19" s="6" t="s">
        <v>56</v>
      </c>
    </row>
    <row r="20" spans="1:8" ht="15" x14ac:dyDescent="0.2">
      <c r="A20" s="7" t="s">
        <v>37</v>
      </c>
      <c r="B20" s="11">
        <v>16</v>
      </c>
      <c r="C20" s="7" t="s">
        <v>37</v>
      </c>
      <c r="D20" s="8">
        <v>17</v>
      </c>
      <c r="E20" s="9">
        <v>325</v>
      </c>
      <c r="F20" s="6">
        <f t="shared" si="0"/>
        <v>6.1553030303030304E-2</v>
      </c>
      <c r="G20" s="6">
        <v>9</v>
      </c>
      <c r="H20" s="6" t="s">
        <v>58</v>
      </c>
    </row>
    <row r="21" spans="1:8" ht="15" x14ac:dyDescent="0.2">
      <c r="A21" s="7" t="s">
        <v>37</v>
      </c>
      <c r="B21" s="11">
        <v>18</v>
      </c>
      <c r="C21" s="7" t="s">
        <v>37</v>
      </c>
      <c r="D21" s="8">
        <v>19</v>
      </c>
      <c r="E21" s="9">
        <v>375</v>
      </c>
      <c r="F21" s="6">
        <f t="shared" si="0"/>
        <v>7.1022727272727279E-2</v>
      </c>
      <c r="G21" s="6">
        <v>4</v>
      </c>
      <c r="H21" s="6" t="s">
        <v>59</v>
      </c>
    </row>
    <row r="22" spans="1:8" ht="15" x14ac:dyDescent="0.2">
      <c r="A22" s="7" t="s">
        <v>37</v>
      </c>
      <c r="B22" s="11">
        <v>19</v>
      </c>
      <c r="C22" s="7" t="s">
        <v>37</v>
      </c>
      <c r="D22" s="8">
        <v>33</v>
      </c>
      <c r="E22" s="9">
        <v>650</v>
      </c>
      <c r="F22" s="6">
        <f t="shared" si="0"/>
        <v>0.12310606060606061</v>
      </c>
      <c r="G22" s="6">
        <v>8</v>
      </c>
      <c r="H22" s="6" t="s">
        <v>57</v>
      </c>
    </row>
    <row r="23" spans="1:8" ht="15" x14ac:dyDescent="0.2">
      <c r="A23" s="7" t="s">
        <v>37</v>
      </c>
      <c r="B23" s="11">
        <v>19</v>
      </c>
      <c r="C23" s="7" t="s">
        <v>37</v>
      </c>
      <c r="D23" s="8">
        <v>20</v>
      </c>
      <c r="E23" s="9">
        <v>250</v>
      </c>
      <c r="F23" s="6">
        <f t="shared" si="0"/>
        <v>4.7348484848484848E-2</v>
      </c>
      <c r="G23" s="6">
        <v>1</v>
      </c>
      <c r="H23" s="6" t="s">
        <v>57</v>
      </c>
    </row>
    <row r="24" spans="1:8" ht="15" x14ac:dyDescent="0.2">
      <c r="A24" s="7" t="s">
        <v>37</v>
      </c>
      <c r="B24" s="11">
        <v>20</v>
      </c>
      <c r="C24" s="7" t="s">
        <v>37</v>
      </c>
      <c r="D24" s="8">
        <v>21</v>
      </c>
      <c r="E24" s="9">
        <v>325</v>
      </c>
      <c r="F24" s="6">
        <f t="shared" si="0"/>
        <v>6.1553030303030304E-2</v>
      </c>
      <c r="G24" s="6">
        <v>11</v>
      </c>
      <c r="H24" s="6" t="s">
        <v>58</v>
      </c>
    </row>
    <row r="25" spans="1:8" ht="15" x14ac:dyDescent="0.2">
      <c r="A25" s="7" t="s">
        <v>37</v>
      </c>
      <c r="B25" s="11">
        <v>20</v>
      </c>
      <c r="C25" s="7" t="s">
        <v>37</v>
      </c>
      <c r="D25" s="8">
        <v>22</v>
      </c>
      <c r="E25" s="9">
        <v>250</v>
      </c>
      <c r="F25" s="6">
        <f t="shared" si="0"/>
        <v>4.7348484848484848E-2</v>
      </c>
      <c r="G25" s="6">
        <v>1</v>
      </c>
      <c r="H25" s="6" t="s">
        <v>57</v>
      </c>
    </row>
    <row r="26" spans="1:8" ht="15" x14ac:dyDescent="0.2">
      <c r="A26" s="7" t="s">
        <v>37</v>
      </c>
      <c r="B26" s="11">
        <v>22</v>
      </c>
      <c r="C26" s="7" t="s">
        <v>37</v>
      </c>
      <c r="D26" s="8">
        <v>23</v>
      </c>
      <c r="E26" s="9">
        <v>500</v>
      </c>
      <c r="F26" s="6">
        <f t="shared" si="0"/>
        <v>9.4696969696969696E-2</v>
      </c>
      <c r="G26" s="6">
        <v>10</v>
      </c>
      <c r="H26" s="6" t="s">
        <v>58</v>
      </c>
    </row>
    <row r="27" spans="1:8" ht="15" x14ac:dyDescent="0.2">
      <c r="A27" s="7" t="s">
        <v>37</v>
      </c>
      <c r="B27" s="11">
        <v>22</v>
      </c>
      <c r="C27" s="7" t="s">
        <v>37</v>
      </c>
      <c r="D27" s="8">
        <v>24</v>
      </c>
      <c r="E27" s="9">
        <v>200</v>
      </c>
      <c r="F27" s="6">
        <f t="shared" si="0"/>
        <v>3.787878787878788E-2</v>
      </c>
      <c r="G27" s="6">
        <v>1</v>
      </c>
      <c r="H27" s="6" t="s">
        <v>57</v>
      </c>
    </row>
    <row r="28" spans="1:8" ht="15" x14ac:dyDescent="0.2">
      <c r="A28" s="7" t="s">
        <v>37</v>
      </c>
      <c r="B28" s="11">
        <v>24</v>
      </c>
      <c r="C28" s="7" t="s">
        <v>37</v>
      </c>
      <c r="D28" s="8">
        <v>25</v>
      </c>
      <c r="E28" s="9">
        <v>200</v>
      </c>
      <c r="F28" s="6">
        <f t="shared" si="0"/>
        <v>3.787878787878788E-2</v>
      </c>
      <c r="G28" s="6">
        <v>9</v>
      </c>
      <c r="H28" s="6" t="s">
        <v>58</v>
      </c>
    </row>
    <row r="29" spans="1:8" ht="15" x14ac:dyDescent="0.2">
      <c r="A29" s="7" t="s">
        <v>37</v>
      </c>
      <c r="B29" s="11">
        <v>24</v>
      </c>
      <c r="C29" s="7" t="s">
        <v>37</v>
      </c>
      <c r="D29" s="8">
        <v>27</v>
      </c>
      <c r="E29" s="9">
        <v>250</v>
      </c>
      <c r="F29" s="6">
        <f t="shared" si="0"/>
        <v>4.7348484848484848E-2</v>
      </c>
      <c r="G29" s="6">
        <v>1</v>
      </c>
      <c r="H29" s="6" t="s">
        <v>57</v>
      </c>
    </row>
    <row r="30" spans="1:8" ht="15" x14ac:dyDescent="0.2">
      <c r="A30" s="7" t="s">
        <v>37</v>
      </c>
      <c r="B30" s="11">
        <v>25</v>
      </c>
      <c r="C30" s="7" t="s">
        <v>37</v>
      </c>
      <c r="D30" s="8">
        <v>26</v>
      </c>
      <c r="E30" s="9">
        <v>300</v>
      </c>
      <c r="F30" s="6">
        <f t="shared" si="0"/>
        <v>5.6818181818181816E-2</v>
      </c>
      <c r="G30" s="6">
        <v>9</v>
      </c>
      <c r="H30" s="6" t="s">
        <v>58</v>
      </c>
    </row>
    <row r="31" spans="1:8" ht="15" x14ac:dyDescent="0.2">
      <c r="A31" s="7" t="s">
        <v>37</v>
      </c>
      <c r="B31" s="11">
        <v>27</v>
      </c>
      <c r="C31" s="7" t="s">
        <v>37</v>
      </c>
      <c r="D31" s="8">
        <v>28</v>
      </c>
      <c r="E31" s="9">
        <v>150</v>
      </c>
      <c r="F31" s="6">
        <f t="shared" si="0"/>
        <v>2.8409090909090908E-2</v>
      </c>
      <c r="G31" s="6">
        <v>4</v>
      </c>
      <c r="H31" s="6" t="s">
        <v>59</v>
      </c>
    </row>
    <row r="32" spans="1:8" ht="15" x14ac:dyDescent="0.2">
      <c r="A32" s="7" t="s">
        <v>37</v>
      </c>
      <c r="B32" s="11">
        <v>27</v>
      </c>
      <c r="C32" s="7" t="s">
        <v>37</v>
      </c>
      <c r="D32" s="8">
        <v>29</v>
      </c>
      <c r="E32" s="9">
        <v>250</v>
      </c>
      <c r="F32" s="6">
        <f t="shared" si="0"/>
        <v>4.7348484848484848E-2</v>
      </c>
      <c r="G32" s="6">
        <v>4</v>
      </c>
      <c r="H32" s="6" t="s">
        <v>59</v>
      </c>
    </row>
    <row r="33" spans="1:8" ht="15" x14ac:dyDescent="0.2">
      <c r="A33" s="7" t="s">
        <v>37</v>
      </c>
      <c r="B33" s="11">
        <v>29</v>
      </c>
      <c r="C33" s="7" t="s">
        <v>37</v>
      </c>
      <c r="D33" s="8">
        <v>30</v>
      </c>
      <c r="E33" s="9">
        <v>250</v>
      </c>
      <c r="F33" s="6">
        <f t="shared" si="0"/>
        <v>4.7348484848484848E-2</v>
      </c>
      <c r="G33" s="6">
        <v>4</v>
      </c>
      <c r="H33" s="6" t="s">
        <v>59</v>
      </c>
    </row>
    <row r="34" spans="1:8" ht="15" x14ac:dyDescent="0.2">
      <c r="A34" s="12" t="s">
        <v>37</v>
      </c>
      <c r="B34" s="13">
        <v>30</v>
      </c>
      <c r="C34" s="12" t="s">
        <v>37</v>
      </c>
      <c r="D34" s="14">
        <v>31</v>
      </c>
      <c r="E34" s="15">
        <v>250</v>
      </c>
      <c r="F34" s="6">
        <f t="shared" si="0"/>
        <v>4.7348484848484848E-2</v>
      </c>
      <c r="G34" s="6">
        <v>4</v>
      </c>
      <c r="H34" s="6" t="s">
        <v>59</v>
      </c>
    </row>
    <row r="35" spans="1:8" ht="15" x14ac:dyDescent="0.2">
      <c r="A35" s="16" t="s">
        <v>37</v>
      </c>
      <c r="B35" s="17">
        <v>31</v>
      </c>
      <c r="C35" s="18" t="s">
        <v>37</v>
      </c>
      <c r="D35" s="19">
        <v>32</v>
      </c>
      <c r="E35" s="20">
        <v>500</v>
      </c>
      <c r="F35" s="6">
        <f t="shared" si="0"/>
        <v>9.4696969696969696E-2</v>
      </c>
      <c r="G35" s="6">
        <v>4</v>
      </c>
      <c r="H35" s="6" t="s">
        <v>59</v>
      </c>
    </row>
    <row r="36" spans="1:8" ht="15" x14ac:dyDescent="0.2">
      <c r="A36" s="21" t="s">
        <v>37</v>
      </c>
      <c r="B36" s="22">
        <v>33</v>
      </c>
      <c r="C36" s="21" t="s">
        <v>37</v>
      </c>
      <c r="D36" s="23">
        <v>34</v>
      </c>
      <c r="E36" s="24">
        <v>300</v>
      </c>
      <c r="F36" s="6">
        <f t="shared" si="0"/>
        <v>5.6818181818181816E-2</v>
      </c>
      <c r="G36" s="6">
        <v>9</v>
      </c>
      <c r="H36" s="6" t="s">
        <v>58</v>
      </c>
    </row>
    <row r="37" spans="1:8" ht="15" x14ac:dyDescent="0.2">
      <c r="A37" s="7" t="s">
        <v>37</v>
      </c>
      <c r="B37" s="11">
        <v>33</v>
      </c>
      <c r="C37" s="7" t="s">
        <v>37</v>
      </c>
      <c r="D37" s="8">
        <v>35</v>
      </c>
      <c r="E37" s="9">
        <v>250</v>
      </c>
      <c r="F37" s="6">
        <f t="shared" si="0"/>
        <v>4.7348484848484848E-2</v>
      </c>
      <c r="G37" s="6">
        <v>10</v>
      </c>
      <c r="H37" s="6" t="s">
        <v>58</v>
      </c>
    </row>
    <row r="38" spans="1:8" ht="15" x14ac:dyDescent="0.2">
      <c r="A38" s="7" t="s">
        <v>37</v>
      </c>
      <c r="B38" s="11">
        <v>35</v>
      </c>
      <c r="C38" s="7" t="s">
        <v>37</v>
      </c>
      <c r="D38" s="8">
        <v>36</v>
      </c>
      <c r="E38" s="9">
        <v>325</v>
      </c>
      <c r="F38" s="6">
        <f t="shared" si="0"/>
        <v>6.1553030303030304E-2</v>
      </c>
      <c r="G38" s="6">
        <v>10</v>
      </c>
      <c r="H38" s="6" t="s">
        <v>58</v>
      </c>
    </row>
    <row r="39" spans="1:8" ht="15" x14ac:dyDescent="0.2">
      <c r="A39" s="7" t="s">
        <v>42</v>
      </c>
      <c r="B39" s="11">
        <v>2</v>
      </c>
      <c r="C39" s="7" t="s">
        <v>42</v>
      </c>
      <c r="D39" s="8">
        <v>1</v>
      </c>
      <c r="E39" s="9">
        <v>250</v>
      </c>
      <c r="F39" s="6">
        <f t="shared" si="0"/>
        <v>4.7348484848484848E-2</v>
      </c>
      <c r="G39" s="6">
        <v>6</v>
      </c>
      <c r="H39" s="6" t="s">
        <v>57</v>
      </c>
    </row>
    <row r="40" spans="1:8" ht="15" x14ac:dyDescent="0.2">
      <c r="A40" s="7" t="s">
        <v>42</v>
      </c>
      <c r="B40" s="11">
        <v>3</v>
      </c>
      <c r="C40" s="7" t="s">
        <v>42</v>
      </c>
      <c r="D40" s="8">
        <v>2</v>
      </c>
      <c r="E40" s="9">
        <v>250</v>
      </c>
      <c r="F40" s="6">
        <f t="shared" si="0"/>
        <v>4.7348484848484848E-2</v>
      </c>
      <c r="G40" s="6">
        <v>6</v>
      </c>
      <c r="H40" s="6" t="s">
        <v>57</v>
      </c>
    </row>
    <row r="41" spans="1:8" ht="15" x14ac:dyDescent="0.2">
      <c r="A41" s="7" t="s">
        <v>42</v>
      </c>
      <c r="B41" s="11">
        <v>3</v>
      </c>
      <c r="C41" s="7" t="s">
        <v>42</v>
      </c>
      <c r="D41" s="8">
        <v>4</v>
      </c>
      <c r="E41" s="9">
        <v>675</v>
      </c>
      <c r="F41" s="6">
        <f t="shared" si="0"/>
        <v>0.12784090909090909</v>
      </c>
      <c r="G41" s="6">
        <v>11</v>
      </c>
      <c r="H41" s="6" t="s">
        <v>58</v>
      </c>
    </row>
    <row r="42" spans="1:8" ht="15" x14ac:dyDescent="0.2">
      <c r="A42" s="7" t="s">
        <v>42</v>
      </c>
      <c r="B42" s="11">
        <v>6</v>
      </c>
      <c r="C42" s="7" t="s">
        <v>42</v>
      </c>
      <c r="D42" s="8">
        <v>3</v>
      </c>
      <c r="E42" s="9">
        <v>475</v>
      </c>
      <c r="F42" s="6">
        <f t="shared" si="0"/>
        <v>8.9962121212121215E-2</v>
      </c>
      <c r="G42" s="6">
        <v>6</v>
      </c>
      <c r="H42" s="6" t="s">
        <v>57</v>
      </c>
    </row>
    <row r="43" spans="1:8" ht="15" x14ac:dyDescent="0.2">
      <c r="A43" s="7" t="s">
        <v>42</v>
      </c>
      <c r="B43" s="11">
        <v>4</v>
      </c>
      <c r="C43" s="7" t="s">
        <v>42</v>
      </c>
      <c r="D43" s="8">
        <v>5</v>
      </c>
      <c r="E43" s="9">
        <v>475</v>
      </c>
      <c r="F43" s="6">
        <f t="shared" si="0"/>
        <v>8.9962121212121215E-2</v>
      </c>
      <c r="G43" s="6">
        <v>11</v>
      </c>
      <c r="H43" s="6" t="s">
        <v>58</v>
      </c>
    </row>
    <row r="44" spans="1:8" ht="15" x14ac:dyDescent="0.2">
      <c r="A44" s="7" t="s">
        <v>42</v>
      </c>
      <c r="B44" s="11">
        <v>7</v>
      </c>
      <c r="C44" s="7" t="s">
        <v>42</v>
      </c>
      <c r="D44" s="8">
        <v>6</v>
      </c>
      <c r="E44" s="9">
        <v>475</v>
      </c>
      <c r="F44" s="6">
        <f t="shared" si="0"/>
        <v>8.9962121212121215E-2</v>
      </c>
      <c r="G44" s="6">
        <v>6</v>
      </c>
      <c r="H44" s="6" t="s">
        <v>57</v>
      </c>
    </row>
    <row r="45" spans="1:8" ht="15" x14ac:dyDescent="0.2">
      <c r="A45" s="7" t="s">
        <v>42</v>
      </c>
      <c r="B45" s="11">
        <v>7</v>
      </c>
      <c r="C45" s="7" t="s">
        <v>42</v>
      </c>
      <c r="D45" s="8">
        <v>8</v>
      </c>
      <c r="E45" s="9">
        <v>225</v>
      </c>
      <c r="F45" s="6">
        <f t="shared" si="0"/>
        <v>4.261363636363636E-2</v>
      </c>
      <c r="G45" s="6">
        <v>6</v>
      </c>
      <c r="H45" s="6" t="s">
        <v>57</v>
      </c>
    </row>
    <row r="46" spans="1:8" ht="15" x14ac:dyDescent="0.2">
      <c r="A46" s="7" t="s">
        <v>42</v>
      </c>
      <c r="B46" s="11">
        <v>9</v>
      </c>
      <c r="C46" s="7" t="s">
        <v>42</v>
      </c>
      <c r="D46" s="8">
        <v>7</v>
      </c>
      <c r="E46" s="9">
        <v>100</v>
      </c>
      <c r="F46" s="6">
        <f t="shared" si="0"/>
        <v>1.893939393939394E-2</v>
      </c>
      <c r="G46" s="6">
        <v>6</v>
      </c>
      <c r="H46" s="6" t="s">
        <v>57</v>
      </c>
    </row>
    <row r="47" spans="1:8" ht="15" x14ac:dyDescent="0.2">
      <c r="A47" s="7" t="s">
        <v>42</v>
      </c>
      <c r="B47" s="11">
        <v>10</v>
      </c>
      <c r="C47" s="7" t="s">
        <v>42</v>
      </c>
      <c r="D47" s="8">
        <v>9</v>
      </c>
      <c r="E47" s="9">
        <v>400</v>
      </c>
      <c r="F47" s="6">
        <f t="shared" si="0"/>
        <v>7.575757575757576E-2</v>
      </c>
      <c r="G47" s="6">
        <v>6</v>
      </c>
      <c r="H47" s="6" t="s">
        <v>57</v>
      </c>
    </row>
    <row r="48" spans="1:8" ht="15" x14ac:dyDescent="0.2">
      <c r="A48" s="7" t="s">
        <v>42</v>
      </c>
      <c r="B48" s="11">
        <v>10</v>
      </c>
      <c r="C48" s="7" t="s">
        <v>42</v>
      </c>
      <c r="D48" s="8">
        <v>20</v>
      </c>
      <c r="E48" s="9">
        <v>700</v>
      </c>
      <c r="F48" s="6">
        <f t="shared" si="0"/>
        <v>0.13257575757575757</v>
      </c>
      <c r="G48" s="6">
        <v>3</v>
      </c>
      <c r="H48" s="6" t="s">
        <v>59</v>
      </c>
    </row>
    <row r="49" spans="1:8" ht="15" x14ac:dyDescent="0.2">
      <c r="A49" s="7" t="s">
        <v>42</v>
      </c>
      <c r="B49" s="11">
        <v>11</v>
      </c>
      <c r="C49" s="7" t="s">
        <v>42</v>
      </c>
      <c r="D49" s="8">
        <v>10</v>
      </c>
      <c r="E49" s="9">
        <v>200</v>
      </c>
      <c r="F49" s="6">
        <f t="shared" si="0"/>
        <v>3.787878787878788E-2</v>
      </c>
      <c r="G49" s="6">
        <v>3</v>
      </c>
      <c r="H49" s="6" t="s">
        <v>59</v>
      </c>
    </row>
    <row r="50" spans="1:8" ht="15" x14ac:dyDescent="0.2">
      <c r="A50" s="7" t="s">
        <v>42</v>
      </c>
      <c r="B50" s="11">
        <v>11</v>
      </c>
      <c r="C50" s="7" t="s">
        <v>42</v>
      </c>
      <c r="D50" s="8">
        <v>12</v>
      </c>
      <c r="E50" s="9">
        <v>275</v>
      </c>
      <c r="F50" s="6">
        <f t="shared" si="0"/>
        <v>5.2083333333333336E-2</v>
      </c>
      <c r="G50" s="6">
        <v>11</v>
      </c>
      <c r="H50" s="6" t="s">
        <v>58</v>
      </c>
    </row>
    <row r="51" spans="1:8" ht="15" x14ac:dyDescent="0.2">
      <c r="A51" s="7" t="s">
        <v>42</v>
      </c>
      <c r="B51" s="11">
        <v>15</v>
      </c>
      <c r="C51" s="7" t="s">
        <v>42</v>
      </c>
      <c r="D51" s="8">
        <v>11</v>
      </c>
      <c r="E51" s="9">
        <v>275</v>
      </c>
      <c r="F51" s="6">
        <f t="shared" si="0"/>
        <v>5.2083333333333336E-2</v>
      </c>
      <c r="G51" s="6">
        <v>3</v>
      </c>
      <c r="H51" s="6" t="s">
        <v>59</v>
      </c>
    </row>
    <row r="52" spans="1:8" ht="15" x14ac:dyDescent="0.2">
      <c r="A52" s="7" t="s">
        <v>42</v>
      </c>
      <c r="B52" s="11">
        <v>12</v>
      </c>
      <c r="C52" s="7" t="s">
        <v>42</v>
      </c>
      <c r="D52" s="8">
        <v>13</v>
      </c>
      <c r="E52" s="9">
        <v>350</v>
      </c>
      <c r="F52" s="6">
        <f t="shared" si="0"/>
        <v>6.6287878787878785E-2</v>
      </c>
      <c r="G52" s="6">
        <v>11</v>
      </c>
      <c r="H52" s="6" t="s">
        <v>58</v>
      </c>
    </row>
    <row r="53" spans="1:8" ht="15" x14ac:dyDescent="0.2">
      <c r="A53" s="7" t="s">
        <v>42</v>
      </c>
      <c r="B53" s="11">
        <v>13</v>
      </c>
      <c r="C53" s="7" t="s">
        <v>42</v>
      </c>
      <c r="D53" s="8">
        <v>14</v>
      </c>
      <c r="E53" s="9">
        <v>400</v>
      </c>
      <c r="F53" s="6">
        <f t="shared" si="0"/>
        <v>7.575757575757576E-2</v>
      </c>
      <c r="G53" s="6">
        <v>11</v>
      </c>
      <c r="H53" s="6" t="s">
        <v>58</v>
      </c>
    </row>
    <row r="54" spans="1:8" ht="15" x14ac:dyDescent="0.2">
      <c r="A54" s="7" t="s">
        <v>42</v>
      </c>
      <c r="B54" s="11">
        <v>15</v>
      </c>
      <c r="C54" s="7" t="s">
        <v>42</v>
      </c>
      <c r="D54" s="8">
        <v>16</v>
      </c>
      <c r="E54" s="9">
        <v>200</v>
      </c>
      <c r="F54" s="6">
        <f t="shared" si="0"/>
        <v>3.787878787878788E-2</v>
      </c>
      <c r="G54" s="6">
        <v>9</v>
      </c>
      <c r="H54" s="6" t="s">
        <v>58</v>
      </c>
    </row>
    <row r="55" spans="1:8" ht="15" x14ac:dyDescent="0.2">
      <c r="A55" s="7" t="s">
        <v>42</v>
      </c>
      <c r="B55" s="11">
        <v>15</v>
      </c>
      <c r="C55" s="7" t="s">
        <v>44</v>
      </c>
      <c r="D55" s="8">
        <v>17</v>
      </c>
      <c r="E55" s="9">
        <v>250</v>
      </c>
      <c r="F55" s="6">
        <f t="shared" si="0"/>
        <v>4.7348484848484848E-2</v>
      </c>
      <c r="G55" s="6">
        <v>3</v>
      </c>
      <c r="H55" s="6" t="s">
        <v>59</v>
      </c>
    </row>
    <row r="56" spans="1:8" ht="15" x14ac:dyDescent="0.2">
      <c r="A56" s="7" t="s">
        <v>42</v>
      </c>
      <c r="B56" s="11">
        <v>16</v>
      </c>
      <c r="C56" s="7" t="s">
        <v>42</v>
      </c>
      <c r="D56" s="8">
        <v>17</v>
      </c>
      <c r="E56" s="9">
        <v>275</v>
      </c>
      <c r="F56" s="6">
        <f t="shared" si="0"/>
        <v>5.2083333333333336E-2</v>
      </c>
      <c r="G56" s="6">
        <v>9</v>
      </c>
      <c r="H56" s="6" t="s">
        <v>58</v>
      </c>
    </row>
    <row r="57" spans="1:8" ht="15" x14ac:dyDescent="0.2">
      <c r="A57" s="7" t="s">
        <v>42</v>
      </c>
      <c r="B57" s="11">
        <v>17</v>
      </c>
      <c r="C57" s="7" t="s">
        <v>42</v>
      </c>
      <c r="D57" s="8">
        <v>18</v>
      </c>
      <c r="E57" s="9">
        <v>325</v>
      </c>
      <c r="F57" s="6">
        <f t="shared" si="0"/>
        <v>6.1553030303030304E-2</v>
      </c>
      <c r="G57" s="6">
        <v>9</v>
      </c>
      <c r="H57" s="6" t="s">
        <v>58</v>
      </c>
    </row>
    <row r="58" spans="1:8" ht="15" x14ac:dyDescent="0.2">
      <c r="A58" s="7" t="s">
        <v>42</v>
      </c>
      <c r="B58" s="11">
        <v>18</v>
      </c>
      <c r="C58" s="7" t="s">
        <v>42</v>
      </c>
      <c r="D58" s="8">
        <v>19</v>
      </c>
      <c r="E58" s="9">
        <v>275</v>
      </c>
      <c r="F58" s="6">
        <f t="shared" si="0"/>
        <v>5.2083333333333336E-2</v>
      </c>
      <c r="G58" s="6">
        <v>9</v>
      </c>
      <c r="H58" s="6" t="s">
        <v>58</v>
      </c>
    </row>
    <row r="59" spans="1:8" ht="15" x14ac:dyDescent="0.2">
      <c r="A59" s="7" t="s">
        <v>42</v>
      </c>
      <c r="B59" s="11">
        <v>20</v>
      </c>
      <c r="C59" s="7" t="s">
        <v>42</v>
      </c>
      <c r="D59" s="8">
        <v>21</v>
      </c>
      <c r="E59" s="9">
        <v>450</v>
      </c>
      <c r="F59" s="6">
        <f t="shared" si="0"/>
        <v>8.5227272727272721E-2</v>
      </c>
      <c r="G59" s="6">
        <v>6</v>
      </c>
      <c r="H59" s="6" t="s">
        <v>57</v>
      </c>
    </row>
    <row r="60" spans="1:8" ht="15" x14ac:dyDescent="0.2">
      <c r="A60" s="7" t="s">
        <v>42</v>
      </c>
      <c r="B60" s="11">
        <v>21</v>
      </c>
      <c r="C60" s="7" t="s">
        <v>42</v>
      </c>
      <c r="D60" s="8">
        <v>22</v>
      </c>
      <c r="E60" s="9">
        <v>175</v>
      </c>
      <c r="F60" s="6">
        <f t="shared" si="0"/>
        <v>3.3143939393939392E-2</v>
      </c>
      <c r="G60" s="6">
        <v>9</v>
      </c>
      <c r="H60" s="6" t="s">
        <v>58</v>
      </c>
    </row>
    <row r="61" spans="1:8" ht="15" x14ac:dyDescent="0.2">
      <c r="A61" s="7" t="s">
        <v>42</v>
      </c>
      <c r="B61" s="11">
        <v>21</v>
      </c>
      <c r="C61" s="7" t="s">
        <v>42</v>
      </c>
      <c r="D61" s="8">
        <v>23</v>
      </c>
      <c r="E61" s="9">
        <v>275</v>
      </c>
      <c r="F61" s="6">
        <f t="shared" si="0"/>
        <v>5.2083333333333336E-2</v>
      </c>
      <c r="G61" s="6">
        <v>6</v>
      </c>
      <c r="H61" s="6" t="s">
        <v>57</v>
      </c>
    </row>
    <row r="62" spans="1:8" ht="15" x14ac:dyDescent="0.2">
      <c r="A62" s="7" t="s">
        <v>42</v>
      </c>
      <c r="B62" s="11">
        <v>23</v>
      </c>
      <c r="C62" s="7" t="s">
        <v>42</v>
      </c>
      <c r="D62" s="8">
        <v>24</v>
      </c>
      <c r="E62" s="9">
        <v>225</v>
      </c>
      <c r="F62" s="6">
        <f t="shared" si="0"/>
        <v>4.261363636363636E-2</v>
      </c>
      <c r="G62" s="6">
        <v>10</v>
      </c>
      <c r="H62" s="6" t="s">
        <v>58</v>
      </c>
    </row>
    <row r="63" spans="1:8" ht="15" x14ac:dyDescent="0.2">
      <c r="A63" s="7" t="s">
        <v>42</v>
      </c>
      <c r="B63" s="11">
        <v>23</v>
      </c>
      <c r="C63" s="7" t="s">
        <v>42</v>
      </c>
      <c r="D63" s="8">
        <v>25</v>
      </c>
      <c r="E63" s="9">
        <v>225</v>
      </c>
      <c r="F63" s="6">
        <f t="shared" si="0"/>
        <v>4.261363636363636E-2</v>
      </c>
      <c r="G63" s="6">
        <v>6</v>
      </c>
      <c r="H63" s="6" t="s">
        <v>57</v>
      </c>
    </row>
    <row r="64" spans="1:8" ht="15" x14ac:dyDescent="0.2">
      <c r="A64" s="7" t="s">
        <v>42</v>
      </c>
      <c r="B64" s="11">
        <v>25</v>
      </c>
      <c r="C64" s="7" t="s">
        <v>42</v>
      </c>
      <c r="D64" s="8">
        <v>26</v>
      </c>
      <c r="E64" s="9">
        <v>300</v>
      </c>
      <c r="F64" s="6">
        <f t="shared" si="0"/>
        <v>5.6818181818181816E-2</v>
      </c>
      <c r="G64" s="6">
        <v>11</v>
      </c>
      <c r="H64" s="6" t="s">
        <v>58</v>
      </c>
    </row>
    <row r="65" spans="1:8" ht="15" x14ac:dyDescent="0.2">
      <c r="A65" s="7" t="s">
        <v>42</v>
      </c>
      <c r="B65" s="11">
        <v>25</v>
      </c>
      <c r="C65" s="7" t="s">
        <v>42</v>
      </c>
      <c r="D65" s="8">
        <v>27</v>
      </c>
      <c r="E65" s="9">
        <v>225</v>
      </c>
      <c r="F65" s="6">
        <f t="shared" si="0"/>
        <v>4.261363636363636E-2</v>
      </c>
      <c r="G65" s="6">
        <v>6</v>
      </c>
      <c r="H65" s="6" t="s">
        <v>57</v>
      </c>
    </row>
    <row r="66" spans="1:8" ht="15" x14ac:dyDescent="0.2">
      <c r="A66" s="7" t="s">
        <v>42</v>
      </c>
      <c r="B66" s="11">
        <v>27</v>
      </c>
      <c r="C66" s="7" t="s">
        <v>42</v>
      </c>
      <c r="D66" s="8">
        <v>28</v>
      </c>
      <c r="E66" s="9">
        <v>275</v>
      </c>
      <c r="F66" s="6">
        <f t="shared" si="0"/>
        <v>5.2083333333333336E-2</v>
      </c>
      <c r="G66" s="6">
        <v>9</v>
      </c>
      <c r="H66" s="6" t="s">
        <v>58</v>
      </c>
    </row>
    <row r="67" spans="1:8" ht="15" x14ac:dyDescent="0.2">
      <c r="A67" s="7" t="s">
        <v>42</v>
      </c>
      <c r="B67" s="11">
        <v>27</v>
      </c>
      <c r="C67" s="7" t="s">
        <v>42</v>
      </c>
      <c r="D67" s="8">
        <v>29</v>
      </c>
      <c r="E67" s="9">
        <v>300</v>
      </c>
      <c r="F67" s="6">
        <f t="shared" si="0"/>
        <v>5.6818181818181816E-2</v>
      </c>
      <c r="G67" s="6">
        <v>6</v>
      </c>
      <c r="H67" s="6" t="s">
        <v>57</v>
      </c>
    </row>
    <row r="68" spans="1:8" ht="15" x14ac:dyDescent="0.2">
      <c r="A68" s="7" t="s">
        <v>42</v>
      </c>
      <c r="B68" s="11">
        <v>29</v>
      </c>
      <c r="C68" s="7" t="s">
        <v>42</v>
      </c>
      <c r="D68" s="8">
        <v>30</v>
      </c>
      <c r="E68" s="9">
        <v>200</v>
      </c>
      <c r="F68" s="6">
        <f t="shared" si="0"/>
        <v>3.787878787878788E-2</v>
      </c>
      <c r="G68" s="6">
        <v>10</v>
      </c>
      <c r="H68" s="6" t="s">
        <v>58</v>
      </c>
    </row>
    <row r="69" spans="1:8" ht="15" x14ac:dyDescent="0.2">
      <c r="A69" s="7" t="s">
        <v>44</v>
      </c>
      <c r="B69" s="11">
        <v>2</v>
      </c>
      <c r="C69" s="7" t="s">
        <v>44</v>
      </c>
      <c r="D69" s="8">
        <v>1</v>
      </c>
      <c r="E69" s="9">
        <v>1000</v>
      </c>
      <c r="F69" s="6">
        <f t="shared" si="0"/>
        <v>0.18939393939393939</v>
      </c>
      <c r="G69" s="6">
        <v>3</v>
      </c>
      <c r="H69" s="6" t="s">
        <v>59</v>
      </c>
    </row>
    <row r="70" spans="1:8" ht="15" x14ac:dyDescent="0.2">
      <c r="A70" s="7" t="s">
        <v>44</v>
      </c>
      <c r="B70" s="11">
        <v>2</v>
      </c>
      <c r="C70" s="7" t="s">
        <v>44</v>
      </c>
      <c r="D70" s="8">
        <v>3</v>
      </c>
      <c r="E70" s="9">
        <v>450</v>
      </c>
      <c r="F70" s="6">
        <f t="shared" ref="F70:F122" si="1">E70/5280</f>
        <v>8.5227272727272721E-2</v>
      </c>
      <c r="G70" s="6">
        <v>9</v>
      </c>
      <c r="H70" s="6" t="s">
        <v>58</v>
      </c>
    </row>
    <row r="71" spans="1:8" ht="15" x14ac:dyDescent="0.2">
      <c r="A71" s="7" t="s">
        <v>44</v>
      </c>
      <c r="B71" s="11">
        <v>9</v>
      </c>
      <c r="C71" s="7" t="s">
        <v>44</v>
      </c>
      <c r="D71" s="8">
        <v>2</v>
      </c>
      <c r="E71" s="9">
        <v>325</v>
      </c>
      <c r="F71" s="6">
        <f t="shared" si="1"/>
        <v>6.1553030303030304E-2</v>
      </c>
      <c r="G71" s="6">
        <v>3</v>
      </c>
      <c r="H71" s="6" t="s">
        <v>59</v>
      </c>
    </row>
    <row r="72" spans="1:8" ht="15" x14ac:dyDescent="0.2">
      <c r="A72" s="7" t="s">
        <v>44</v>
      </c>
      <c r="B72" s="11">
        <v>3</v>
      </c>
      <c r="C72" s="7" t="s">
        <v>44</v>
      </c>
      <c r="D72" s="8">
        <v>4</v>
      </c>
      <c r="E72" s="9">
        <v>300</v>
      </c>
      <c r="F72" s="6">
        <f t="shared" si="1"/>
        <v>5.6818181818181816E-2</v>
      </c>
      <c r="G72" s="6">
        <v>9</v>
      </c>
      <c r="H72" s="6" t="s">
        <v>58</v>
      </c>
    </row>
    <row r="73" spans="1:8" ht="15" x14ac:dyDescent="0.2">
      <c r="A73" s="7" t="s">
        <v>44</v>
      </c>
      <c r="B73" s="11">
        <v>4</v>
      </c>
      <c r="C73" s="7" t="s">
        <v>44</v>
      </c>
      <c r="D73" s="8">
        <v>5</v>
      </c>
      <c r="E73" s="9">
        <v>575</v>
      </c>
      <c r="F73" s="6">
        <f t="shared" si="1"/>
        <v>0.10890151515151515</v>
      </c>
      <c r="G73" s="6">
        <v>9</v>
      </c>
      <c r="H73" s="6" t="s">
        <v>58</v>
      </c>
    </row>
    <row r="74" spans="1:8" ht="15" x14ac:dyDescent="0.2">
      <c r="A74" s="7" t="s">
        <v>44</v>
      </c>
      <c r="B74" s="11">
        <v>4</v>
      </c>
      <c r="C74" s="7" t="s">
        <v>44</v>
      </c>
      <c r="D74" s="8">
        <v>6</v>
      </c>
      <c r="E74" s="9">
        <v>125</v>
      </c>
      <c r="F74" s="6">
        <f t="shared" si="1"/>
        <v>2.3674242424242424E-2</v>
      </c>
      <c r="G74" s="6">
        <v>9</v>
      </c>
      <c r="H74" s="6" t="s">
        <v>58</v>
      </c>
    </row>
    <row r="75" spans="1:8" ht="15" x14ac:dyDescent="0.2">
      <c r="A75" s="7" t="s">
        <v>44</v>
      </c>
      <c r="B75" s="11">
        <v>6</v>
      </c>
      <c r="C75" s="7" t="s">
        <v>44</v>
      </c>
      <c r="D75" s="8">
        <v>7</v>
      </c>
      <c r="E75" s="9">
        <v>525</v>
      </c>
      <c r="F75" s="6">
        <f t="shared" si="1"/>
        <v>9.9431818181818177E-2</v>
      </c>
      <c r="G75" s="6">
        <v>9</v>
      </c>
      <c r="H75" s="6" t="s">
        <v>58</v>
      </c>
    </row>
    <row r="76" spans="1:8" ht="15" x14ac:dyDescent="0.2">
      <c r="A76" s="7" t="s">
        <v>44</v>
      </c>
      <c r="B76" s="11">
        <v>7</v>
      </c>
      <c r="C76" s="7" t="s">
        <v>44</v>
      </c>
      <c r="D76" s="8">
        <v>8</v>
      </c>
      <c r="E76" s="9">
        <v>325</v>
      </c>
      <c r="F76" s="6">
        <f t="shared" si="1"/>
        <v>6.1553030303030304E-2</v>
      </c>
      <c r="G76" s="6">
        <v>9</v>
      </c>
      <c r="H76" s="6" t="s">
        <v>58</v>
      </c>
    </row>
    <row r="77" spans="1:8" ht="15" x14ac:dyDescent="0.2">
      <c r="A77" s="7" t="s">
        <v>44</v>
      </c>
      <c r="B77" s="11">
        <v>9</v>
      </c>
      <c r="C77" s="7" t="s">
        <v>44</v>
      </c>
      <c r="D77" s="8">
        <v>10</v>
      </c>
      <c r="E77" s="9">
        <v>225</v>
      </c>
      <c r="F77" s="6">
        <f t="shared" si="1"/>
        <v>4.261363636363636E-2</v>
      </c>
      <c r="G77" s="6">
        <v>10</v>
      </c>
      <c r="H77" s="6" t="s">
        <v>58</v>
      </c>
    </row>
    <row r="78" spans="1:8" ht="15" x14ac:dyDescent="0.2">
      <c r="A78" s="7" t="s">
        <v>44</v>
      </c>
      <c r="B78" s="11">
        <v>12</v>
      </c>
      <c r="C78" s="7" t="s">
        <v>44</v>
      </c>
      <c r="D78" s="8">
        <v>9</v>
      </c>
      <c r="E78" s="9">
        <v>275</v>
      </c>
      <c r="F78" s="6">
        <f t="shared" si="1"/>
        <v>5.2083333333333336E-2</v>
      </c>
      <c r="G78" s="6">
        <v>3</v>
      </c>
      <c r="H78" s="6" t="s">
        <v>59</v>
      </c>
    </row>
    <row r="79" spans="1:8" ht="15" x14ac:dyDescent="0.2">
      <c r="A79" s="7" t="s">
        <v>44</v>
      </c>
      <c r="B79" s="11">
        <v>10</v>
      </c>
      <c r="C79" s="7" t="s">
        <v>44</v>
      </c>
      <c r="D79" s="8">
        <v>11</v>
      </c>
      <c r="E79" s="9">
        <v>575</v>
      </c>
      <c r="F79" s="6">
        <f t="shared" si="1"/>
        <v>0.10890151515151515</v>
      </c>
      <c r="G79" s="6">
        <v>10</v>
      </c>
      <c r="H79" s="6" t="s">
        <v>58</v>
      </c>
    </row>
    <row r="80" spans="1:8" ht="15" x14ac:dyDescent="0.2">
      <c r="A80" s="7" t="s">
        <v>44</v>
      </c>
      <c r="B80" s="11">
        <v>12</v>
      </c>
      <c r="C80" s="7" t="s">
        <v>44</v>
      </c>
      <c r="D80" s="8">
        <v>13</v>
      </c>
      <c r="E80" s="9">
        <v>225</v>
      </c>
      <c r="F80" s="6">
        <f t="shared" si="1"/>
        <v>4.261363636363636E-2</v>
      </c>
      <c r="G80" s="6">
        <v>11</v>
      </c>
      <c r="H80" s="6" t="s">
        <v>58</v>
      </c>
    </row>
    <row r="81" spans="1:8" ht="15" x14ac:dyDescent="0.2">
      <c r="A81" s="7" t="s">
        <v>44</v>
      </c>
      <c r="B81" s="11">
        <v>16</v>
      </c>
      <c r="C81" s="7" t="s">
        <v>44</v>
      </c>
      <c r="D81" s="8">
        <v>12</v>
      </c>
      <c r="E81" s="9">
        <v>250</v>
      </c>
      <c r="F81" s="6">
        <f t="shared" si="1"/>
        <v>4.7348484848484848E-2</v>
      </c>
      <c r="G81" s="6">
        <v>3</v>
      </c>
      <c r="H81" s="6" t="s">
        <v>59</v>
      </c>
    </row>
    <row r="82" spans="1:8" ht="15" x14ac:dyDescent="0.2">
      <c r="A82" s="7" t="s">
        <v>44</v>
      </c>
      <c r="B82" s="11">
        <v>13</v>
      </c>
      <c r="C82" s="7" t="s">
        <v>44</v>
      </c>
      <c r="D82" s="8">
        <v>14</v>
      </c>
      <c r="E82" s="9">
        <v>325</v>
      </c>
      <c r="F82" s="6">
        <f t="shared" si="1"/>
        <v>6.1553030303030304E-2</v>
      </c>
      <c r="G82" s="6">
        <v>11</v>
      </c>
      <c r="H82" s="6" t="s">
        <v>58</v>
      </c>
    </row>
    <row r="83" spans="1:8" ht="15" x14ac:dyDescent="0.2">
      <c r="A83" s="7" t="s">
        <v>44</v>
      </c>
      <c r="B83" s="11">
        <v>14</v>
      </c>
      <c r="C83" s="7" t="s">
        <v>44</v>
      </c>
      <c r="D83" s="8">
        <v>15</v>
      </c>
      <c r="E83" s="9">
        <v>700</v>
      </c>
      <c r="F83" s="6">
        <f t="shared" si="1"/>
        <v>0.13257575757575757</v>
      </c>
      <c r="G83" s="6">
        <v>11</v>
      </c>
      <c r="H83" s="6" t="s">
        <v>58</v>
      </c>
    </row>
    <row r="84" spans="1:8" ht="15" x14ac:dyDescent="0.2">
      <c r="A84" s="7" t="s">
        <v>44</v>
      </c>
      <c r="B84" s="11">
        <v>17</v>
      </c>
      <c r="C84" s="7" t="s">
        <v>44</v>
      </c>
      <c r="D84" s="8">
        <v>18</v>
      </c>
      <c r="E84" s="9">
        <v>275</v>
      </c>
      <c r="F84" s="6">
        <f t="shared" si="1"/>
        <v>5.2083333333333336E-2</v>
      </c>
      <c r="G84" s="6">
        <v>3</v>
      </c>
      <c r="H84" s="6" t="s">
        <v>59</v>
      </c>
    </row>
    <row r="85" spans="1:8" ht="15" x14ac:dyDescent="0.2">
      <c r="A85" s="7" t="s">
        <v>44</v>
      </c>
      <c r="B85" s="11">
        <v>18</v>
      </c>
      <c r="C85" s="7" t="s">
        <v>44</v>
      </c>
      <c r="D85" s="8">
        <v>19</v>
      </c>
      <c r="E85" s="9">
        <v>550</v>
      </c>
      <c r="F85" s="6">
        <f t="shared" si="1"/>
        <v>0.10416666666666667</v>
      </c>
      <c r="G85" s="6">
        <v>3</v>
      </c>
      <c r="H85" s="6" t="s">
        <v>59</v>
      </c>
    </row>
    <row r="86" spans="1:8" ht="15" x14ac:dyDescent="0.2">
      <c r="A86" s="7" t="s">
        <v>44</v>
      </c>
      <c r="B86" s="11">
        <v>19</v>
      </c>
      <c r="C86" s="7" t="s">
        <v>44</v>
      </c>
      <c r="D86" s="8">
        <v>20</v>
      </c>
      <c r="E86" s="9">
        <v>300</v>
      </c>
      <c r="F86" s="6">
        <f t="shared" si="1"/>
        <v>5.6818181818181816E-2</v>
      </c>
      <c r="G86" s="6">
        <v>3</v>
      </c>
      <c r="H86" s="6" t="s">
        <v>59</v>
      </c>
    </row>
    <row r="87" spans="1:8" ht="15" x14ac:dyDescent="0.2">
      <c r="A87" s="7" t="s">
        <v>44</v>
      </c>
      <c r="B87" s="11">
        <v>20</v>
      </c>
      <c r="C87" s="7" t="s">
        <v>44</v>
      </c>
      <c r="D87" s="8">
        <v>21</v>
      </c>
      <c r="E87" s="9">
        <v>800</v>
      </c>
      <c r="F87" s="6">
        <f t="shared" si="1"/>
        <v>0.15151515151515152</v>
      </c>
      <c r="G87" s="6">
        <v>3</v>
      </c>
      <c r="H87" s="6" t="s">
        <v>59</v>
      </c>
    </row>
    <row r="88" spans="1:8" ht="15" x14ac:dyDescent="0.2">
      <c r="A88" s="7" t="s">
        <v>45</v>
      </c>
      <c r="B88" s="11">
        <v>0</v>
      </c>
      <c r="C88" s="7" t="s">
        <v>45</v>
      </c>
      <c r="D88" s="8">
        <v>1</v>
      </c>
      <c r="E88" s="9">
        <v>400</v>
      </c>
      <c r="F88" s="6">
        <f t="shared" si="1"/>
        <v>7.575757575757576E-2</v>
      </c>
      <c r="G88" s="6">
        <v>1</v>
      </c>
      <c r="H88" s="6" t="s">
        <v>57</v>
      </c>
    </row>
    <row r="89" spans="1:8" ht="15" x14ac:dyDescent="0.2">
      <c r="A89" s="7" t="s">
        <v>45</v>
      </c>
      <c r="B89" s="11">
        <v>1</v>
      </c>
      <c r="C89" s="7" t="s">
        <v>45</v>
      </c>
      <c r="D89" s="8">
        <v>6</v>
      </c>
      <c r="E89" s="9">
        <v>175</v>
      </c>
      <c r="F89" s="6">
        <f t="shared" si="1"/>
        <v>3.3143939393939392E-2</v>
      </c>
      <c r="G89" s="6">
        <v>10</v>
      </c>
      <c r="H89" s="6" t="s">
        <v>58</v>
      </c>
    </row>
    <row r="90" spans="1:8" ht="15" x14ac:dyDescent="0.2">
      <c r="A90" s="7" t="s">
        <v>45</v>
      </c>
      <c r="B90" s="11">
        <v>1</v>
      </c>
      <c r="C90" s="7" t="s">
        <v>45</v>
      </c>
      <c r="D90" s="8">
        <v>2</v>
      </c>
      <c r="E90" s="9">
        <v>250</v>
      </c>
      <c r="F90" s="6">
        <f t="shared" si="1"/>
        <v>4.7348484848484848E-2</v>
      </c>
      <c r="G90" s="6">
        <v>11</v>
      </c>
      <c r="H90" s="6" t="s">
        <v>58</v>
      </c>
    </row>
    <row r="91" spans="1:8" ht="15" x14ac:dyDescent="0.2">
      <c r="A91" s="7" t="s">
        <v>45</v>
      </c>
      <c r="B91" s="11">
        <v>1</v>
      </c>
      <c r="C91" s="7" t="s">
        <v>45</v>
      </c>
      <c r="D91" s="8">
        <v>7</v>
      </c>
      <c r="E91" s="9">
        <v>300</v>
      </c>
      <c r="F91" s="6">
        <f t="shared" si="1"/>
        <v>5.6818181818181816E-2</v>
      </c>
      <c r="G91" s="6">
        <v>1</v>
      </c>
      <c r="H91" s="6" t="s">
        <v>57</v>
      </c>
    </row>
    <row r="92" spans="1:8" ht="15" x14ac:dyDescent="0.2">
      <c r="A92" s="7" t="s">
        <v>45</v>
      </c>
      <c r="B92" s="11">
        <v>2</v>
      </c>
      <c r="C92" s="7" t="s">
        <v>45</v>
      </c>
      <c r="D92" s="8">
        <v>5</v>
      </c>
      <c r="E92" s="9">
        <v>200</v>
      </c>
      <c r="F92" s="6">
        <f t="shared" si="1"/>
        <v>3.787878787878788E-2</v>
      </c>
      <c r="G92" s="6">
        <v>11</v>
      </c>
      <c r="H92" s="6" t="s">
        <v>58</v>
      </c>
    </row>
    <row r="93" spans="1:8" ht="15" x14ac:dyDescent="0.2">
      <c r="A93" s="7" t="s">
        <v>45</v>
      </c>
      <c r="B93" s="11">
        <v>2</v>
      </c>
      <c r="C93" s="7" t="s">
        <v>45</v>
      </c>
      <c r="D93" s="8">
        <v>3</v>
      </c>
      <c r="E93" s="9">
        <v>325</v>
      </c>
      <c r="F93" s="6">
        <f t="shared" si="1"/>
        <v>6.1553030303030304E-2</v>
      </c>
      <c r="G93" s="6">
        <v>11</v>
      </c>
      <c r="H93" s="6" t="s">
        <v>58</v>
      </c>
    </row>
    <row r="94" spans="1:8" ht="15" x14ac:dyDescent="0.2">
      <c r="A94" s="7" t="s">
        <v>45</v>
      </c>
      <c r="B94" s="11">
        <v>3</v>
      </c>
      <c r="C94" s="7" t="s">
        <v>45</v>
      </c>
      <c r="D94" s="8">
        <v>4</v>
      </c>
      <c r="E94" s="9">
        <v>250</v>
      </c>
      <c r="F94" s="6">
        <f t="shared" si="1"/>
        <v>4.7348484848484848E-2</v>
      </c>
      <c r="G94" s="6">
        <v>11</v>
      </c>
      <c r="H94" s="6" t="s">
        <v>58</v>
      </c>
    </row>
    <row r="95" spans="1:8" ht="15" x14ac:dyDescent="0.2">
      <c r="A95" s="7" t="s">
        <v>45</v>
      </c>
      <c r="B95" s="11">
        <v>7</v>
      </c>
      <c r="C95" s="7" t="s">
        <v>45</v>
      </c>
      <c r="D95" s="8">
        <v>8</v>
      </c>
      <c r="E95" s="9">
        <v>200</v>
      </c>
      <c r="F95" s="6">
        <f t="shared" si="1"/>
        <v>3.787878787878788E-2</v>
      </c>
      <c r="G95" s="6">
        <v>1</v>
      </c>
      <c r="H95" s="6" t="s">
        <v>57</v>
      </c>
    </row>
    <row r="96" spans="1:8" ht="15" x14ac:dyDescent="0.2">
      <c r="A96" s="7" t="s">
        <v>45</v>
      </c>
      <c r="B96" s="11">
        <v>8</v>
      </c>
      <c r="C96" s="7" t="s">
        <v>45</v>
      </c>
      <c r="D96" s="8">
        <v>9</v>
      </c>
      <c r="E96" s="9">
        <v>225</v>
      </c>
      <c r="F96" s="6">
        <f t="shared" si="1"/>
        <v>4.261363636363636E-2</v>
      </c>
      <c r="G96" s="6">
        <v>10</v>
      </c>
      <c r="H96" s="6" t="s">
        <v>58</v>
      </c>
    </row>
    <row r="97" spans="1:8" ht="15" x14ac:dyDescent="0.2">
      <c r="A97" s="7" t="s">
        <v>45</v>
      </c>
      <c r="B97" s="11">
        <v>8</v>
      </c>
      <c r="C97" s="7" t="s">
        <v>45</v>
      </c>
      <c r="D97" s="8">
        <v>10</v>
      </c>
      <c r="E97" s="9">
        <v>225</v>
      </c>
      <c r="F97" s="6">
        <f t="shared" si="1"/>
        <v>4.261363636363636E-2</v>
      </c>
      <c r="G97" s="6">
        <v>9</v>
      </c>
      <c r="H97" s="6" t="s">
        <v>58</v>
      </c>
    </row>
    <row r="98" spans="1:8" ht="15" x14ac:dyDescent="0.2">
      <c r="A98" s="7" t="s">
        <v>45</v>
      </c>
      <c r="B98" s="11">
        <v>8</v>
      </c>
      <c r="C98" s="7" t="s">
        <v>45</v>
      </c>
      <c r="D98" s="8">
        <v>14</v>
      </c>
      <c r="E98" s="9">
        <v>300</v>
      </c>
      <c r="F98" s="6">
        <f t="shared" si="1"/>
        <v>5.6818181818181816E-2</v>
      </c>
      <c r="G98" s="6">
        <v>1</v>
      </c>
      <c r="H98" s="6" t="s">
        <v>57</v>
      </c>
    </row>
    <row r="99" spans="1:8" ht="15" x14ac:dyDescent="0.2">
      <c r="A99" s="7" t="s">
        <v>45</v>
      </c>
      <c r="B99" s="11">
        <v>10</v>
      </c>
      <c r="C99" s="7" t="s">
        <v>45</v>
      </c>
      <c r="D99" s="8">
        <v>11</v>
      </c>
      <c r="E99" s="9">
        <v>425</v>
      </c>
      <c r="F99" s="6">
        <f t="shared" si="1"/>
        <v>8.049242424242424E-2</v>
      </c>
      <c r="G99" s="6">
        <v>9</v>
      </c>
      <c r="H99" s="6" t="s">
        <v>58</v>
      </c>
    </row>
    <row r="100" spans="1:8" ht="15" x14ac:dyDescent="0.2">
      <c r="A100" s="7" t="s">
        <v>45</v>
      </c>
      <c r="B100" s="11">
        <v>11</v>
      </c>
      <c r="C100" s="7" t="s">
        <v>45</v>
      </c>
      <c r="D100" s="8">
        <v>12</v>
      </c>
      <c r="E100" s="9">
        <v>250</v>
      </c>
      <c r="F100" s="6">
        <f t="shared" si="1"/>
        <v>4.7348484848484848E-2</v>
      </c>
      <c r="G100" s="6">
        <v>9</v>
      </c>
      <c r="H100" s="6" t="s">
        <v>58</v>
      </c>
    </row>
    <row r="101" spans="1:8" ht="15" x14ac:dyDescent="0.2">
      <c r="A101" s="7" t="s">
        <v>45</v>
      </c>
      <c r="B101" s="11">
        <v>11</v>
      </c>
      <c r="C101" s="7" t="s">
        <v>45</v>
      </c>
      <c r="D101" s="8">
        <v>13</v>
      </c>
      <c r="E101" s="9">
        <v>250</v>
      </c>
      <c r="F101" s="6">
        <f t="shared" si="1"/>
        <v>4.7348484848484848E-2</v>
      </c>
      <c r="G101" s="6">
        <v>9</v>
      </c>
      <c r="H101" s="6" t="s">
        <v>58</v>
      </c>
    </row>
    <row r="102" spans="1:8" ht="15" x14ac:dyDescent="0.2">
      <c r="A102" s="7" t="s">
        <v>45</v>
      </c>
      <c r="B102" s="11">
        <v>14</v>
      </c>
      <c r="C102" s="7" t="s">
        <v>45</v>
      </c>
      <c r="D102" s="8">
        <v>15</v>
      </c>
      <c r="E102" s="9">
        <v>150</v>
      </c>
      <c r="F102" s="6">
        <f t="shared" si="1"/>
        <v>2.8409090909090908E-2</v>
      </c>
      <c r="G102" s="6">
        <v>11</v>
      </c>
      <c r="H102" s="6" t="s">
        <v>58</v>
      </c>
    </row>
    <row r="103" spans="1:8" ht="15" x14ac:dyDescent="0.2">
      <c r="A103" s="7" t="s">
        <v>45</v>
      </c>
      <c r="B103" s="11">
        <v>14</v>
      </c>
      <c r="C103" s="7" t="s">
        <v>37</v>
      </c>
      <c r="D103" s="8">
        <v>15</v>
      </c>
      <c r="E103" s="9">
        <v>825</v>
      </c>
      <c r="F103" s="6">
        <f t="shared" si="1"/>
        <v>0.15625</v>
      </c>
      <c r="G103" s="6">
        <v>2</v>
      </c>
      <c r="H103" s="6" t="s">
        <v>56</v>
      </c>
    </row>
    <row r="104" spans="1:8" ht="15" x14ac:dyDescent="0.2">
      <c r="A104" s="7" t="s">
        <v>45</v>
      </c>
      <c r="B104" s="11">
        <v>15</v>
      </c>
      <c r="C104" s="7" t="s">
        <v>45</v>
      </c>
      <c r="D104" s="8">
        <v>16</v>
      </c>
      <c r="E104" s="9">
        <v>100</v>
      </c>
      <c r="F104" s="6">
        <f t="shared" si="1"/>
        <v>1.893939393939394E-2</v>
      </c>
      <c r="G104" s="6">
        <v>11</v>
      </c>
      <c r="H104" s="6" t="s">
        <v>58</v>
      </c>
    </row>
    <row r="105" spans="1:8" ht="15" x14ac:dyDescent="0.2">
      <c r="A105" s="7" t="s">
        <v>45</v>
      </c>
      <c r="B105" s="11">
        <v>35</v>
      </c>
      <c r="C105" s="7" t="s">
        <v>42</v>
      </c>
      <c r="D105" s="8">
        <v>15</v>
      </c>
      <c r="E105" s="9">
        <v>350</v>
      </c>
      <c r="F105" s="6">
        <f t="shared" si="1"/>
        <v>6.6287878787878785E-2</v>
      </c>
      <c r="G105" s="6">
        <v>6</v>
      </c>
      <c r="H105" s="6" t="s">
        <v>57</v>
      </c>
    </row>
    <row r="106" spans="1:8" ht="15" x14ac:dyDescent="0.2">
      <c r="A106" s="7" t="s">
        <v>45</v>
      </c>
      <c r="B106" s="11">
        <v>16</v>
      </c>
      <c r="C106" s="7" t="s">
        <v>45</v>
      </c>
      <c r="D106" s="8">
        <v>18</v>
      </c>
      <c r="E106" s="9">
        <v>375</v>
      </c>
      <c r="F106" s="6">
        <f t="shared" si="1"/>
        <v>7.1022727272727279E-2</v>
      </c>
      <c r="G106" s="6">
        <v>11</v>
      </c>
      <c r="H106" s="6" t="s">
        <v>58</v>
      </c>
    </row>
    <row r="107" spans="1:8" ht="15" x14ac:dyDescent="0.2">
      <c r="A107" s="7" t="s">
        <v>45</v>
      </c>
      <c r="B107" s="11">
        <v>16</v>
      </c>
      <c r="C107" s="7" t="s">
        <v>45</v>
      </c>
      <c r="D107" s="8">
        <v>17</v>
      </c>
      <c r="E107" s="9">
        <v>350</v>
      </c>
      <c r="F107" s="6">
        <f t="shared" si="1"/>
        <v>6.6287878787878785E-2</v>
      </c>
      <c r="G107" s="6">
        <v>11</v>
      </c>
      <c r="H107" s="6" t="s">
        <v>58</v>
      </c>
    </row>
    <row r="108" spans="1:8" ht="15" x14ac:dyDescent="0.2">
      <c r="A108" s="7" t="s">
        <v>45</v>
      </c>
      <c r="B108" s="11">
        <v>19</v>
      </c>
      <c r="C108" s="7" t="s">
        <v>45</v>
      </c>
      <c r="D108" s="8">
        <v>20</v>
      </c>
      <c r="E108" s="9">
        <v>400</v>
      </c>
      <c r="F108" s="6">
        <f t="shared" si="1"/>
        <v>7.575757575757576E-2</v>
      </c>
      <c r="G108" s="6">
        <v>1</v>
      </c>
      <c r="H108" s="6" t="s">
        <v>57</v>
      </c>
    </row>
    <row r="109" spans="1:8" ht="15" x14ac:dyDescent="0.2">
      <c r="A109" s="7" t="s">
        <v>45</v>
      </c>
      <c r="B109" s="11">
        <v>20</v>
      </c>
      <c r="C109" s="7" t="s">
        <v>45</v>
      </c>
      <c r="D109" s="8">
        <v>21</v>
      </c>
      <c r="E109" s="9">
        <v>200</v>
      </c>
      <c r="F109" s="6">
        <f t="shared" si="1"/>
        <v>3.787878787878788E-2</v>
      </c>
      <c r="G109" s="6">
        <v>1</v>
      </c>
      <c r="H109" s="6" t="s">
        <v>57</v>
      </c>
    </row>
    <row r="110" spans="1:8" ht="15" x14ac:dyDescent="0.2">
      <c r="A110" s="7" t="s">
        <v>45</v>
      </c>
      <c r="B110" s="11">
        <v>21</v>
      </c>
      <c r="C110" s="7" t="s">
        <v>45</v>
      </c>
      <c r="D110" s="8">
        <v>22</v>
      </c>
      <c r="E110" s="9">
        <v>125</v>
      </c>
      <c r="F110" s="6">
        <f t="shared" si="1"/>
        <v>2.3674242424242424E-2</v>
      </c>
      <c r="G110" s="6">
        <v>1</v>
      </c>
      <c r="H110" s="6" t="s">
        <v>57</v>
      </c>
    </row>
    <row r="111" spans="1:8" ht="15" x14ac:dyDescent="0.2">
      <c r="A111" s="7" t="s">
        <v>45</v>
      </c>
      <c r="B111" s="11">
        <v>22</v>
      </c>
      <c r="C111" s="7" t="s">
        <v>45</v>
      </c>
      <c r="D111" s="8">
        <v>23</v>
      </c>
      <c r="E111" s="9">
        <v>275</v>
      </c>
      <c r="F111" s="6">
        <f t="shared" si="1"/>
        <v>5.2083333333333336E-2</v>
      </c>
      <c r="G111" s="6">
        <v>1</v>
      </c>
      <c r="H111" s="6" t="s">
        <v>57</v>
      </c>
    </row>
    <row r="112" spans="1:8" ht="15" x14ac:dyDescent="0.2">
      <c r="A112" s="7" t="s">
        <v>45</v>
      </c>
      <c r="B112" s="11">
        <v>22</v>
      </c>
      <c r="C112" s="7" t="s">
        <v>45</v>
      </c>
      <c r="D112" s="8">
        <v>25</v>
      </c>
      <c r="E112" s="9">
        <v>350</v>
      </c>
      <c r="F112" s="6">
        <f t="shared" si="1"/>
        <v>6.6287878787878785E-2</v>
      </c>
      <c r="G112" s="6">
        <v>3</v>
      </c>
      <c r="H112" s="6" t="s">
        <v>59</v>
      </c>
    </row>
    <row r="113" spans="1:8" ht="15" x14ac:dyDescent="0.2">
      <c r="A113" s="7" t="s">
        <v>45</v>
      </c>
      <c r="B113" s="11">
        <v>23</v>
      </c>
      <c r="C113" s="7" t="s">
        <v>45</v>
      </c>
      <c r="D113" s="8">
        <v>24</v>
      </c>
      <c r="E113" s="9">
        <v>275</v>
      </c>
      <c r="F113" s="6">
        <f t="shared" si="1"/>
        <v>5.2083333333333336E-2</v>
      </c>
      <c r="G113" s="6">
        <v>1</v>
      </c>
      <c r="H113" s="6" t="s">
        <v>57</v>
      </c>
    </row>
    <row r="114" spans="1:8" ht="15" x14ac:dyDescent="0.2">
      <c r="A114" s="7" t="s">
        <v>45</v>
      </c>
      <c r="B114" s="11">
        <v>25</v>
      </c>
      <c r="C114" s="7" t="s">
        <v>45</v>
      </c>
      <c r="D114" s="8">
        <v>26</v>
      </c>
      <c r="E114" s="9">
        <v>250</v>
      </c>
      <c r="F114" s="6">
        <f t="shared" si="1"/>
        <v>4.7348484848484848E-2</v>
      </c>
      <c r="G114" s="6">
        <v>10</v>
      </c>
      <c r="H114" s="6" t="s">
        <v>58</v>
      </c>
    </row>
    <row r="115" spans="1:8" ht="15" x14ac:dyDescent="0.2">
      <c r="A115" s="7" t="s">
        <v>45</v>
      </c>
      <c r="B115" s="11">
        <v>25</v>
      </c>
      <c r="C115" s="7" t="s">
        <v>45</v>
      </c>
      <c r="D115" s="8">
        <v>28</v>
      </c>
      <c r="E115" s="9">
        <v>750</v>
      </c>
      <c r="F115" s="6">
        <f t="shared" si="1"/>
        <v>0.14204545454545456</v>
      </c>
      <c r="G115" s="6">
        <v>3</v>
      </c>
      <c r="H115" s="6" t="s">
        <v>59</v>
      </c>
    </row>
    <row r="116" spans="1:8" ht="15" x14ac:dyDescent="0.2">
      <c r="A116" s="7" t="s">
        <v>45</v>
      </c>
      <c r="B116" s="11">
        <v>26</v>
      </c>
      <c r="C116" s="7" t="s">
        <v>45</v>
      </c>
      <c r="D116" s="8">
        <v>27</v>
      </c>
      <c r="E116" s="9">
        <v>250</v>
      </c>
      <c r="F116" s="6">
        <f t="shared" si="1"/>
        <v>4.7348484848484848E-2</v>
      </c>
      <c r="G116" s="6">
        <v>10</v>
      </c>
      <c r="H116" s="6" t="s">
        <v>58</v>
      </c>
    </row>
    <row r="117" spans="1:8" ht="15" x14ac:dyDescent="0.2">
      <c r="A117" s="7" t="s">
        <v>45</v>
      </c>
      <c r="B117" s="11">
        <v>28</v>
      </c>
      <c r="C117" s="7" t="s">
        <v>45</v>
      </c>
      <c r="D117" s="8">
        <v>34</v>
      </c>
      <c r="E117" s="9">
        <v>550</v>
      </c>
      <c r="F117" s="6">
        <f t="shared" si="1"/>
        <v>0.10416666666666667</v>
      </c>
      <c r="G117" s="6">
        <v>5</v>
      </c>
      <c r="H117" s="6" t="s">
        <v>56</v>
      </c>
    </row>
    <row r="118" spans="1:8" ht="15" x14ac:dyDescent="0.2">
      <c r="A118" s="7" t="s">
        <v>45</v>
      </c>
      <c r="B118" s="11">
        <v>28</v>
      </c>
      <c r="C118" s="7" t="s">
        <v>45</v>
      </c>
      <c r="D118" s="8">
        <v>29</v>
      </c>
      <c r="E118" s="9">
        <v>250</v>
      </c>
      <c r="F118" s="6">
        <f t="shared" si="1"/>
        <v>4.7348484848484848E-2</v>
      </c>
      <c r="G118" s="6">
        <v>12</v>
      </c>
      <c r="H118" s="6" t="s">
        <v>60</v>
      </c>
    </row>
    <row r="119" spans="1:8" ht="15" x14ac:dyDescent="0.2">
      <c r="A119" s="7" t="s">
        <v>45</v>
      </c>
      <c r="B119" s="11">
        <v>29</v>
      </c>
      <c r="C119" s="7" t="s">
        <v>45</v>
      </c>
      <c r="D119" s="8">
        <v>30</v>
      </c>
      <c r="E119" s="9">
        <v>175</v>
      </c>
      <c r="F119" s="6">
        <f t="shared" si="1"/>
        <v>3.3143939393939392E-2</v>
      </c>
      <c r="G119" s="6">
        <v>12</v>
      </c>
      <c r="H119" s="6" t="s">
        <v>60</v>
      </c>
    </row>
    <row r="120" spans="1:8" ht="15" x14ac:dyDescent="0.2">
      <c r="A120" s="7" t="s">
        <v>45</v>
      </c>
      <c r="B120" s="11">
        <v>30</v>
      </c>
      <c r="C120" s="7" t="s">
        <v>45</v>
      </c>
      <c r="D120" s="8">
        <v>31</v>
      </c>
      <c r="E120" s="9">
        <v>350</v>
      </c>
      <c r="F120" s="6">
        <f t="shared" si="1"/>
        <v>6.6287878787878785E-2</v>
      </c>
      <c r="G120" s="6">
        <v>12</v>
      </c>
      <c r="H120" s="6" t="s">
        <v>60</v>
      </c>
    </row>
    <row r="121" spans="1:8" ht="15" x14ac:dyDescent="0.2">
      <c r="A121" s="7" t="s">
        <v>45</v>
      </c>
      <c r="B121" s="11">
        <v>31</v>
      </c>
      <c r="C121" s="7" t="s">
        <v>45</v>
      </c>
      <c r="D121" s="8">
        <v>32</v>
      </c>
      <c r="E121" s="9">
        <v>425</v>
      </c>
      <c r="F121" s="6">
        <f t="shared" si="1"/>
        <v>8.049242424242424E-2</v>
      </c>
      <c r="G121" s="6">
        <v>12</v>
      </c>
      <c r="H121" s="6" t="s">
        <v>60</v>
      </c>
    </row>
    <row r="122" spans="1:8" ht="15" x14ac:dyDescent="0.2">
      <c r="A122" s="7" t="s">
        <v>45</v>
      </c>
      <c r="B122" s="11">
        <v>32</v>
      </c>
      <c r="C122" s="7" t="s">
        <v>45</v>
      </c>
      <c r="D122" s="8">
        <v>33</v>
      </c>
      <c r="E122" s="9">
        <v>325</v>
      </c>
      <c r="F122" s="6">
        <f t="shared" si="1"/>
        <v>6.1553030303030304E-2</v>
      </c>
      <c r="G122" s="6">
        <v>12</v>
      </c>
      <c r="H122" s="6" t="s">
        <v>60</v>
      </c>
    </row>
  </sheetData>
  <mergeCells count="2">
    <mergeCell ref="A3:B3"/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B5D3-3BD5-47BD-8B4D-49B63B33776E}">
  <dimension ref="A1:J13"/>
  <sheetViews>
    <sheetView zoomScale="68" workbookViewId="0">
      <selection activeCell="J12" sqref="J12"/>
    </sheetView>
  </sheetViews>
  <sheetFormatPr defaultRowHeight="14.25" x14ac:dyDescent="0.2"/>
  <cols>
    <col min="2" max="10" width="18.75" customWidth="1"/>
  </cols>
  <sheetData>
    <row r="1" spans="1:10" ht="15" x14ac:dyDescent="0.2">
      <c r="A1" s="3" t="s">
        <v>61</v>
      </c>
      <c r="B1" s="3" t="s">
        <v>55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</row>
    <row r="2" spans="1:10" x14ac:dyDescent="0.2">
      <c r="A2" s="2">
        <v>1</v>
      </c>
      <c r="B2" s="2" t="s">
        <v>57</v>
      </c>
      <c r="C2" s="2" t="s">
        <v>70</v>
      </c>
      <c r="D2" s="2" t="s">
        <v>71</v>
      </c>
      <c r="E2" s="2" t="s">
        <v>70</v>
      </c>
      <c r="F2" s="2" t="s">
        <v>56</v>
      </c>
      <c r="G2" s="2" t="s">
        <v>72</v>
      </c>
      <c r="H2" s="2" t="s">
        <v>71</v>
      </c>
      <c r="I2" s="2" t="s">
        <v>72</v>
      </c>
      <c r="J2" s="2" t="s">
        <v>59</v>
      </c>
    </row>
    <row r="3" spans="1:10" x14ac:dyDescent="0.2">
      <c r="A3" s="2">
        <v>2</v>
      </c>
      <c r="B3" s="2" t="s">
        <v>56</v>
      </c>
      <c r="C3" s="2" t="s">
        <v>72</v>
      </c>
      <c r="D3" s="2" t="s">
        <v>70</v>
      </c>
      <c r="E3" s="2" t="s">
        <v>72</v>
      </c>
      <c r="F3" s="2" t="s">
        <v>59</v>
      </c>
      <c r="G3" s="2" t="s">
        <v>71</v>
      </c>
      <c r="H3" s="2" t="s">
        <v>70</v>
      </c>
      <c r="I3" s="2" t="s">
        <v>71</v>
      </c>
      <c r="J3" s="2" t="s">
        <v>57</v>
      </c>
    </row>
    <row r="4" spans="1:10" x14ac:dyDescent="0.2">
      <c r="A4" s="2">
        <v>3</v>
      </c>
      <c r="B4" s="2" t="s">
        <v>59</v>
      </c>
      <c r="C4" s="2" t="s">
        <v>71</v>
      </c>
      <c r="D4" s="2" t="s">
        <v>72</v>
      </c>
      <c r="E4" s="2" t="s">
        <v>71</v>
      </c>
      <c r="F4" s="2" t="s">
        <v>57</v>
      </c>
      <c r="G4" s="2" t="s">
        <v>70</v>
      </c>
      <c r="H4" s="2" t="s">
        <v>72</v>
      </c>
      <c r="I4" s="2" t="s">
        <v>70</v>
      </c>
      <c r="J4" s="2" t="s">
        <v>56</v>
      </c>
    </row>
    <row r="5" spans="1:10" x14ac:dyDescent="0.2">
      <c r="A5" s="2">
        <v>4</v>
      </c>
      <c r="B5" s="2" t="s">
        <v>59</v>
      </c>
      <c r="C5" s="2" t="s">
        <v>72</v>
      </c>
      <c r="D5" s="2" t="s">
        <v>71</v>
      </c>
      <c r="E5" s="2" t="s">
        <v>72</v>
      </c>
      <c r="F5" s="2" t="s">
        <v>56</v>
      </c>
      <c r="G5" s="2" t="s">
        <v>70</v>
      </c>
      <c r="H5" s="2" t="s">
        <v>71</v>
      </c>
      <c r="I5" s="2" t="s">
        <v>70</v>
      </c>
      <c r="J5" s="2" t="s">
        <v>57</v>
      </c>
    </row>
    <row r="6" spans="1:10" x14ac:dyDescent="0.2">
      <c r="A6" s="2">
        <v>5</v>
      </c>
      <c r="B6" s="2" t="s">
        <v>56</v>
      </c>
      <c r="C6" s="2" t="s">
        <v>70</v>
      </c>
      <c r="D6" s="2" t="s">
        <v>72</v>
      </c>
      <c r="E6" s="2" t="s">
        <v>70</v>
      </c>
      <c r="F6" s="2" t="s">
        <v>57</v>
      </c>
      <c r="G6" s="2" t="s">
        <v>71</v>
      </c>
      <c r="H6" s="2" t="s">
        <v>72</v>
      </c>
      <c r="I6" s="2" t="s">
        <v>71</v>
      </c>
      <c r="J6" s="2" t="s">
        <v>59</v>
      </c>
    </row>
    <row r="7" spans="1:10" x14ac:dyDescent="0.2">
      <c r="A7" s="2">
        <v>6</v>
      </c>
      <c r="B7" s="2" t="s">
        <v>57</v>
      </c>
      <c r="C7" s="2" t="s">
        <v>71</v>
      </c>
      <c r="D7" s="2" t="s">
        <v>70</v>
      </c>
      <c r="E7" s="2" t="s">
        <v>71</v>
      </c>
      <c r="F7" s="2" t="s">
        <v>59</v>
      </c>
      <c r="G7" s="2" t="s">
        <v>72</v>
      </c>
      <c r="H7" s="2" t="s">
        <v>70</v>
      </c>
      <c r="I7" s="2" t="s">
        <v>72</v>
      </c>
      <c r="J7" s="2" t="s">
        <v>56</v>
      </c>
    </row>
    <row r="8" spans="1:10" x14ac:dyDescent="0.2">
      <c r="A8" s="2">
        <v>7</v>
      </c>
      <c r="B8" s="2" t="s">
        <v>57</v>
      </c>
      <c r="C8" s="2" t="s">
        <v>73</v>
      </c>
      <c r="D8" s="2" t="s">
        <v>71</v>
      </c>
      <c r="E8" s="2" t="s">
        <v>73</v>
      </c>
      <c r="F8" s="2" t="s">
        <v>73</v>
      </c>
      <c r="G8" s="2" t="s">
        <v>73</v>
      </c>
      <c r="H8" s="2" t="s">
        <v>71</v>
      </c>
      <c r="I8" s="2" t="s">
        <v>73</v>
      </c>
      <c r="J8" s="2" t="s">
        <v>59</v>
      </c>
    </row>
    <row r="9" spans="1:10" x14ac:dyDescent="0.2">
      <c r="A9" s="2">
        <v>8</v>
      </c>
      <c r="B9" s="2" t="s">
        <v>57</v>
      </c>
      <c r="C9" s="2" t="s">
        <v>71</v>
      </c>
      <c r="D9" s="2" t="s">
        <v>73</v>
      </c>
      <c r="E9" s="2" t="s">
        <v>71</v>
      </c>
      <c r="F9" s="2" t="s">
        <v>59</v>
      </c>
      <c r="G9" s="2" t="s">
        <v>73</v>
      </c>
      <c r="H9" s="2" t="s">
        <v>73</v>
      </c>
      <c r="I9" s="2" t="s">
        <v>73</v>
      </c>
      <c r="J9" s="2" t="s">
        <v>73</v>
      </c>
    </row>
    <row r="10" spans="1:10" x14ac:dyDescent="0.2">
      <c r="A10" s="2">
        <v>9</v>
      </c>
      <c r="B10" s="2" t="s">
        <v>58</v>
      </c>
      <c r="C10" s="2" t="s">
        <v>73</v>
      </c>
      <c r="D10" s="2" t="s">
        <v>73</v>
      </c>
      <c r="E10" s="2" t="s">
        <v>73</v>
      </c>
      <c r="F10" s="2" t="s">
        <v>73</v>
      </c>
      <c r="G10" s="2" t="s">
        <v>73</v>
      </c>
      <c r="H10" s="2" t="s">
        <v>73</v>
      </c>
      <c r="I10" s="2" t="s">
        <v>73</v>
      </c>
      <c r="J10" s="2" t="s">
        <v>73</v>
      </c>
    </row>
    <row r="11" spans="1:10" x14ac:dyDescent="0.2">
      <c r="A11" s="2">
        <v>10</v>
      </c>
      <c r="B11" s="2" t="s">
        <v>73</v>
      </c>
      <c r="C11" s="2" t="s">
        <v>73</v>
      </c>
      <c r="D11" s="2" t="s">
        <v>73</v>
      </c>
      <c r="E11" s="2" t="s">
        <v>73</v>
      </c>
      <c r="F11" s="2" t="s">
        <v>58</v>
      </c>
      <c r="G11" s="2" t="s">
        <v>73</v>
      </c>
      <c r="H11" s="2" t="s">
        <v>73</v>
      </c>
      <c r="I11" s="2" t="s">
        <v>73</v>
      </c>
      <c r="J11" s="2" t="s">
        <v>73</v>
      </c>
    </row>
    <row r="12" spans="1:10" x14ac:dyDescent="0.2">
      <c r="A12" s="2">
        <v>11</v>
      </c>
      <c r="B12" s="2" t="s">
        <v>73</v>
      </c>
      <c r="C12" s="2" t="s">
        <v>73</v>
      </c>
      <c r="D12" s="2" t="s">
        <v>73</v>
      </c>
      <c r="E12" s="2" t="s">
        <v>73</v>
      </c>
      <c r="F12" s="2" t="s">
        <v>73</v>
      </c>
      <c r="G12" s="2" t="s">
        <v>73</v>
      </c>
      <c r="H12" s="2" t="s">
        <v>73</v>
      </c>
      <c r="I12" s="2" t="s">
        <v>73</v>
      </c>
      <c r="J12" s="2" t="s">
        <v>58</v>
      </c>
    </row>
    <row r="13" spans="1:10" x14ac:dyDescent="0.2">
      <c r="A13" s="2">
        <v>12</v>
      </c>
      <c r="B13" s="2" t="s">
        <v>60</v>
      </c>
      <c r="C13" s="2" t="s">
        <v>74</v>
      </c>
      <c r="D13" s="2" t="s">
        <v>75</v>
      </c>
      <c r="E13" s="2" t="s">
        <v>74</v>
      </c>
      <c r="F13" s="2" t="s">
        <v>76</v>
      </c>
      <c r="G13" s="2" t="s">
        <v>74</v>
      </c>
      <c r="H13" s="2" t="s">
        <v>75</v>
      </c>
      <c r="I13" s="2" t="s">
        <v>74</v>
      </c>
      <c r="J13" s="2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255f47-9314-43e3-9658-3c48440ec2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2A50AB4C4464D8719920DD07D196A" ma:contentTypeVersion="11" ma:contentTypeDescription="Create a new document." ma:contentTypeScope="" ma:versionID="beb7ef3fdfe459e5a76d09ed99204a0b">
  <xsd:schema xmlns:xsd="http://www.w3.org/2001/XMLSchema" xmlns:xs="http://www.w3.org/2001/XMLSchema" xmlns:p="http://schemas.microsoft.com/office/2006/metadata/properties" xmlns:ns3="ea255f47-9314-43e3-9658-3c48440ec22c" targetNamespace="http://schemas.microsoft.com/office/2006/metadata/properties" ma:root="true" ma:fieldsID="75e67fc4a26286b3603ab5031f53b9ed" ns3:_="">
    <xsd:import namespace="ea255f47-9314-43e3-9658-3c48440ec2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55f47-9314-43e3-9658-3c48440ec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D535A2-B06D-4E82-B75D-5A76606205E1}">
  <ds:schemaRefs>
    <ds:schemaRef ds:uri="http://schemas.microsoft.com/office/2006/metadata/properties"/>
    <ds:schemaRef ds:uri="http://schemas.microsoft.com/office/infopath/2007/PartnerControls"/>
    <ds:schemaRef ds:uri="ea255f47-9314-43e3-9658-3c48440ec22c"/>
  </ds:schemaRefs>
</ds:datastoreItem>
</file>

<file path=customXml/itemProps2.xml><?xml version="1.0" encoding="utf-8"?>
<ds:datastoreItem xmlns:ds="http://schemas.openxmlformats.org/officeDocument/2006/customXml" ds:itemID="{357A2451-F9A9-45D5-ACFD-9EC171120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255f47-9314-43e3-9658-3c48440ec2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5D0906-E963-4871-961D-3EE945ABB2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Data</vt:lpstr>
      <vt:lpstr>Load Data</vt:lpstr>
      <vt:lpstr>Line Data</vt:lpstr>
      <vt:lpstr>Line Impedence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Wai Yan Moe 20239902</dc:creator>
  <cp:keywords/>
  <dc:description/>
  <cp:lastModifiedBy>Dao Quoc Khanh 20222725</cp:lastModifiedBy>
  <cp:revision/>
  <dcterms:created xsi:type="dcterms:W3CDTF">2025-06-09T08:38:26Z</dcterms:created>
  <dcterms:modified xsi:type="dcterms:W3CDTF">2025-08-16T17:13:06Z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0x010100A572A50AB4C4464D8719920DD07D196A</vt:lpwstr>
  </property>
</Properties>
</file>